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이은서\"/>
    </mc:Choice>
  </mc:AlternateContent>
  <bookViews>
    <workbookView xWindow="360" yWindow="105" windowWidth="28035" windowHeight="12345" activeTab="5"/>
  </bookViews>
  <sheets>
    <sheet name="2601월" sheetId="1" r:id="rId1"/>
    <sheet name="2602월" sheetId="5" r:id="rId2"/>
    <sheet name="2603월" sheetId="8" r:id="rId3"/>
    <sheet name="2604월" sheetId="7" r:id="rId4"/>
    <sheet name="2605월" sheetId="9" r:id="rId5"/>
    <sheet name="2606월" sheetId="10" r:id="rId6"/>
    <sheet name="2024년 전체" sheetId="4" r:id="rId7"/>
    <sheet name="2025년 전체" sheetId="3" r:id="rId8"/>
    <sheet name="2026년 전체" sheetId="6" r:id="rId9"/>
  </sheets>
  <definedNames>
    <definedName name="_xlnm.Print_Area" localSheetId="6">'2024년 전체'!$A$1:$BN$20</definedName>
    <definedName name="_xlnm.Print_Area" localSheetId="7">'2025년 전체'!$A$1:$BN$20</definedName>
    <definedName name="_xlnm.Print_Area" localSheetId="8">'2026년 전체'!$A$1:$AY$20</definedName>
    <definedName name="_xlnm.Print_Area" localSheetId="0">'2601월'!$A$1:$AY$39</definedName>
    <definedName name="_xlnm.Print_Area" localSheetId="1">'2602월'!$A$1:$AY$36</definedName>
    <definedName name="_xlnm.Print_Area" localSheetId="2">'2603월'!$A$1:$AY$39</definedName>
    <definedName name="_xlnm.Print_Area" localSheetId="3">'2604월'!$A$1:$AY$38</definedName>
    <definedName name="_xlnm.Print_Area" localSheetId="4">'2605월'!$A$1:$AY$39</definedName>
    <definedName name="_xlnm.Print_Area" localSheetId="5">'2606월'!$A$1:$AY$38</definedName>
    <definedName name="Z_017C1DD0_1A4A_401A_AC06_8CFA0D6D7409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017C1DD0_1A4A_401A_AC06_8CFA0D6D7409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017C1DD0_1A4A_401A_AC06_8CFA0D6D7409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017C1DD0_1A4A_401A_AC06_8CFA0D6D7409_.wvu.Cols" localSheetId="0" hidden="1">'2601월'!$C:$C,'2601월'!$F:$F,'2601월'!$L:$O,'2601월'!$Q:$Q,'2601월'!$T:$T,'2601월'!$V:$AC,'2601월'!#REF!,'2601월'!#REF!,'2601월'!$AE:$AE,'2601월'!$AL:$AO,'2601월'!$AQ:$AQ</definedName>
    <definedName name="Z_017C1DD0_1A4A_401A_AC06_8CFA0D6D7409_.wvu.Cols" localSheetId="1" hidden="1">'2602월'!$C:$C,'2602월'!$F:$F,'2602월'!$L:$O,'2602월'!$Q:$Q,'2602월'!$T:$T,'2602월'!$V:$AC,'2602월'!#REF!,'2602월'!#REF!,'2602월'!$AE:$AE,'2602월'!$AL:$AO,'2602월'!$AQ:$AQ</definedName>
    <definedName name="Z_017C1DD0_1A4A_401A_AC06_8CFA0D6D7409_.wvu.Cols" localSheetId="2" hidden="1">'2603월'!$C:$C,'2603월'!$F:$F,'2603월'!$L:$O,'2603월'!$Q:$Q,'2603월'!$T:$T,'2603월'!$V:$AC,'2603월'!#REF!,'2603월'!#REF!,'2603월'!$AE:$AE,'2603월'!$AL:$AO,'2603월'!$AQ:$AQ</definedName>
    <definedName name="Z_017C1DD0_1A4A_401A_AC06_8CFA0D6D7409_.wvu.Cols" localSheetId="3" hidden="1">'2604월'!$C:$C,'2604월'!$F:$F,'2604월'!$L:$O,'2604월'!$Q:$Q,'2604월'!$T:$T,'2604월'!$V:$AC,'2604월'!#REF!,'2604월'!#REF!,'2604월'!$AE:$AE,'2604월'!$AL:$AO,'2604월'!$AQ:$AQ</definedName>
    <definedName name="Z_017C1DD0_1A4A_401A_AC06_8CFA0D6D7409_.wvu.Cols" localSheetId="4" hidden="1">'2605월'!$C:$C,'2605월'!$F:$F,'2605월'!$L:$O,'2605월'!$Q:$Q,'2605월'!$T:$T,'2605월'!$V:$AC,'2605월'!#REF!,'2605월'!#REF!,'2605월'!$AE:$AE,'2605월'!$AL:$AO,'2605월'!$AQ:$AQ</definedName>
    <definedName name="Z_017C1DD0_1A4A_401A_AC06_8CFA0D6D7409_.wvu.Cols" localSheetId="5" hidden="1">'2606월'!$C:$C,'2606월'!$F:$F,'2606월'!$L:$O,'2606월'!$Q:$Q,'2606월'!$T:$T,'2606월'!$V:$AC,'2606월'!#REF!,'2606월'!#REF!,'2606월'!$AE:$AE,'2606월'!$AL:$AO,'2606월'!$AQ:$AQ</definedName>
    <definedName name="Z_017C1DD0_1A4A_401A_AC06_8CFA0D6D7409_.wvu.PrintArea" localSheetId="6" hidden="1">'2024년 전체'!$A$1:$BR$20</definedName>
    <definedName name="Z_017C1DD0_1A4A_401A_AC06_8CFA0D6D7409_.wvu.PrintArea" localSheetId="7" hidden="1">'2025년 전체'!$A$1:$BR$20</definedName>
    <definedName name="Z_017C1DD0_1A4A_401A_AC06_8CFA0D6D7409_.wvu.PrintArea" localSheetId="8" hidden="1">'2026년 전체'!$A$1:$BC$20</definedName>
    <definedName name="Z_017C1DD0_1A4A_401A_AC06_8CFA0D6D7409_.wvu.PrintArea" localSheetId="0" hidden="1">'2601월'!$A$1:$BC$39</definedName>
    <definedName name="Z_017C1DD0_1A4A_401A_AC06_8CFA0D6D7409_.wvu.PrintArea" localSheetId="1" hidden="1">'2602월'!$A$1:$BC$36</definedName>
    <definedName name="Z_017C1DD0_1A4A_401A_AC06_8CFA0D6D7409_.wvu.PrintArea" localSheetId="2" hidden="1">'2603월'!$A$1:$BC$39</definedName>
    <definedName name="Z_017C1DD0_1A4A_401A_AC06_8CFA0D6D7409_.wvu.PrintArea" localSheetId="3" hidden="1">'2604월'!$A$1:$BC$38</definedName>
    <definedName name="Z_017C1DD0_1A4A_401A_AC06_8CFA0D6D7409_.wvu.PrintArea" localSheetId="4" hidden="1">'2605월'!$A$1:$BC$39</definedName>
    <definedName name="Z_017C1DD0_1A4A_401A_AC06_8CFA0D6D7409_.wvu.PrintArea" localSheetId="5" hidden="1">'2606월'!$A$1:$BC$38</definedName>
    <definedName name="Z_01CCD7F6_BE32_409C_875D_D103DB3B5372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01CCD7F6_BE32_409C_875D_D103DB3B5372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01CCD7F6_BE32_409C_875D_D103DB3B5372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1CCD7F6_BE32_409C_875D_D103DB3B5372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1CCD7F6_BE32_409C_875D_D103DB3B5372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1CCD7F6_BE32_409C_875D_D103DB3B5372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1CCD7F6_BE32_409C_875D_D103DB3B5372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1CCD7F6_BE32_409C_875D_D103DB3B5372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1CCD7F6_BE32_409C_875D_D103DB3B5372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1CCD7F6_BE32_409C_875D_D103DB3B5372_.wvu.PrintArea" localSheetId="6" hidden="1">'2024년 전체'!$A$1:$BN$20</definedName>
    <definedName name="Z_01CCD7F6_BE32_409C_875D_D103DB3B5372_.wvu.PrintArea" localSheetId="7" hidden="1">'2025년 전체'!$A$1:$BN$20</definedName>
    <definedName name="Z_01CCD7F6_BE32_409C_875D_D103DB3B5372_.wvu.PrintArea" localSheetId="8" hidden="1">'2026년 전체'!$A$1:$AY$20</definedName>
    <definedName name="Z_01CCD7F6_BE32_409C_875D_D103DB3B5372_.wvu.PrintArea" localSheetId="0" hidden="1">'2601월'!$A$1:$AY$39</definedName>
    <definedName name="Z_01CCD7F6_BE32_409C_875D_D103DB3B5372_.wvu.PrintArea" localSheetId="1" hidden="1">'2602월'!$A$1:$AY$36</definedName>
    <definedName name="Z_01CCD7F6_BE32_409C_875D_D103DB3B5372_.wvu.PrintArea" localSheetId="2" hidden="1">'2603월'!$A$1:$AY$39</definedName>
    <definedName name="Z_01CCD7F6_BE32_409C_875D_D103DB3B5372_.wvu.PrintArea" localSheetId="3" hidden="1">'2604월'!$A$1:$AY$38</definedName>
    <definedName name="Z_01CCD7F6_BE32_409C_875D_D103DB3B5372_.wvu.PrintArea" localSheetId="4" hidden="1">'2605월'!$A$1:$AY$39</definedName>
    <definedName name="Z_01CCD7F6_BE32_409C_875D_D103DB3B5372_.wvu.PrintArea" localSheetId="5" hidden="1">'2606월'!$A$1:$AY$38</definedName>
    <definedName name="Z_02B15AE7_2169_4578_A1B5_FD51875F4D39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02B15AE7_2169_4578_A1B5_FD51875F4D39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02B15AE7_2169_4578_A1B5_FD51875F4D39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2B15AE7_2169_4578_A1B5_FD51875F4D39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2B15AE7_2169_4578_A1B5_FD51875F4D39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2B15AE7_2169_4578_A1B5_FD51875F4D39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2B15AE7_2169_4578_A1B5_FD51875F4D39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2B15AE7_2169_4578_A1B5_FD51875F4D39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2B15AE7_2169_4578_A1B5_FD51875F4D39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2B15AE7_2169_4578_A1B5_FD51875F4D39_.wvu.PrintArea" localSheetId="6" hidden="1">'2024년 전체'!$A$1:$BN$20</definedName>
    <definedName name="Z_02B15AE7_2169_4578_A1B5_FD51875F4D39_.wvu.PrintArea" localSheetId="7" hidden="1">'2025년 전체'!$A$1:$BN$20</definedName>
    <definedName name="Z_02B15AE7_2169_4578_A1B5_FD51875F4D39_.wvu.PrintArea" localSheetId="8" hidden="1">'2026년 전체'!$A$1:$AY$20</definedName>
    <definedName name="Z_02B15AE7_2169_4578_A1B5_FD51875F4D39_.wvu.PrintArea" localSheetId="0" hidden="1">'2601월'!$A$1:$AY$39</definedName>
    <definedName name="Z_02B15AE7_2169_4578_A1B5_FD51875F4D39_.wvu.PrintArea" localSheetId="1" hidden="1">'2602월'!$A$1:$AY$36</definedName>
    <definedName name="Z_02B15AE7_2169_4578_A1B5_FD51875F4D39_.wvu.PrintArea" localSheetId="2" hidden="1">'2603월'!$A$1:$AY$39</definedName>
    <definedName name="Z_02B15AE7_2169_4578_A1B5_FD51875F4D39_.wvu.PrintArea" localSheetId="3" hidden="1">'2604월'!$A$1:$AY$38</definedName>
    <definedName name="Z_02B15AE7_2169_4578_A1B5_FD51875F4D39_.wvu.PrintArea" localSheetId="4" hidden="1">'2605월'!$A$1:$AY$39</definedName>
    <definedName name="Z_02B15AE7_2169_4578_A1B5_FD51875F4D39_.wvu.PrintArea" localSheetId="5" hidden="1">'2606월'!$A$1:$AY$38</definedName>
    <definedName name="Z_0357DF35_2F44_4BD8_ACE9_B1ECE21B158A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</definedName>
    <definedName name="Z_0357DF35_2F44_4BD8_ACE9_B1ECE21B158A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</definedName>
    <definedName name="Z_0357DF35_2F44_4BD8_ACE9_B1ECE21B158A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357DF35_2F44_4BD8_ACE9_B1ECE21B158A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357DF35_2F44_4BD8_ACE9_B1ECE21B158A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357DF35_2F44_4BD8_ACE9_B1ECE21B158A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357DF35_2F44_4BD8_ACE9_B1ECE21B158A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357DF35_2F44_4BD8_ACE9_B1ECE21B158A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357DF35_2F44_4BD8_ACE9_B1ECE21B158A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357DF35_2F44_4BD8_ACE9_B1ECE21B158A_.wvu.PrintArea" localSheetId="6" hidden="1">'2024년 전체'!$A$1:$BN$20</definedName>
    <definedName name="Z_0357DF35_2F44_4BD8_ACE9_B1ECE21B158A_.wvu.PrintArea" localSheetId="7" hidden="1">'2025년 전체'!$A$1:$BN$20</definedName>
    <definedName name="Z_0357DF35_2F44_4BD8_ACE9_B1ECE21B158A_.wvu.PrintArea" localSheetId="8" hidden="1">'2026년 전체'!$A$1:$AY$20</definedName>
    <definedName name="Z_0357DF35_2F44_4BD8_ACE9_B1ECE21B158A_.wvu.PrintArea" localSheetId="0" hidden="1">'2601월'!$A$1:$AY$39</definedName>
    <definedName name="Z_0357DF35_2F44_4BD8_ACE9_B1ECE21B158A_.wvu.PrintArea" localSheetId="1" hidden="1">'2602월'!$A$1:$AY$36</definedName>
    <definedName name="Z_0357DF35_2F44_4BD8_ACE9_B1ECE21B158A_.wvu.PrintArea" localSheetId="2" hidden="1">'2603월'!$A$1:$AY$39</definedName>
    <definedName name="Z_0357DF35_2F44_4BD8_ACE9_B1ECE21B158A_.wvu.PrintArea" localSheetId="3" hidden="1">'2604월'!$A$1:$AY$38</definedName>
    <definedName name="Z_0357DF35_2F44_4BD8_ACE9_B1ECE21B158A_.wvu.PrintArea" localSheetId="4" hidden="1">'2605월'!$A$1:$AY$39</definedName>
    <definedName name="Z_0357DF35_2F44_4BD8_ACE9_B1ECE21B158A_.wvu.PrintArea" localSheetId="5" hidden="1">'2606월'!$A$1:$AY$38</definedName>
    <definedName name="Z_036CA508_CEC6_4AC5_AC93_2B3F556106B7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036CA508_CEC6_4AC5_AC93_2B3F556106B7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036CA508_CEC6_4AC5_AC93_2B3F556106B7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036CA508_CEC6_4AC5_AC93_2B3F556106B7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036CA508_CEC6_4AC5_AC93_2B3F556106B7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036CA508_CEC6_4AC5_AC93_2B3F556106B7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036CA508_CEC6_4AC5_AC93_2B3F556106B7_.wvu.PrintArea" localSheetId="6" hidden="1">'2024년 전체'!$A$1:$BN$20</definedName>
    <definedName name="Z_036CA508_CEC6_4AC5_AC93_2B3F556106B7_.wvu.PrintArea" localSheetId="7" hidden="1">'2025년 전체'!$A$1:$BN$20</definedName>
    <definedName name="Z_036CA508_CEC6_4AC5_AC93_2B3F556106B7_.wvu.PrintArea" localSheetId="8" hidden="1">'2026년 전체'!$A$1:$AY$20</definedName>
    <definedName name="Z_036CA508_CEC6_4AC5_AC93_2B3F556106B7_.wvu.PrintArea" localSheetId="0" hidden="1">'2601월'!$A$1:$AY$39</definedName>
    <definedName name="Z_036CA508_CEC6_4AC5_AC93_2B3F556106B7_.wvu.PrintArea" localSheetId="1" hidden="1">'2602월'!$A$1:$AY$36</definedName>
    <definedName name="Z_036CA508_CEC6_4AC5_AC93_2B3F556106B7_.wvu.PrintArea" localSheetId="2" hidden="1">'2603월'!$A$1:$AY$39</definedName>
    <definedName name="Z_036CA508_CEC6_4AC5_AC93_2B3F556106B7_.wvu.PrintArea" localSheetId="3" hidden="1">'2604월'!$A$1:$AY$38</definedName>
    <definedName name="Z_036CA508_CEC6_4AC5_AC93_2B3F556106B7_.wvu.PrintArea" localSheetId="4" hidden="1">'2605월'!$A$1:$AY$39</definedName>
    <definedName name="Z_036CA508_CEC6_4AC5_AC93_2B3F556106B7_.wvu.PrintArea" localSheetId="5" hidden="1">'2606월'!$A$1:$AY$38</definedName>
    <definedName name="Z_03DBF24F_DDFC_4B38_B424_D953E4CEDD34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03DBF24F_DDFC_4B38_B424_D953E4CEDD34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03DBF24F_DDFC_4B38_B424_D953E4CEDD3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3DBF24F_DDFC_4B38_B424_D953E4CEDD34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3DBF24F_DDFC_4B38_B424_D953E4CEDD34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3DBF24F_DDFC_4B38_B424_D953E4CEDD34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3DBF24F_DDFC_4B38_B424_D953E4CEDD34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3DBF24F_DDFC_4B38_B424_D953E4CEDD34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3DBF24F_DDFC_4B38_B424_D953E4CEDD34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3DBF24F_DDFC_4B38_B424_D953E4CEDD34_.wvu.PrintArea" localSheetId="6" hidden="1">'2024년 전체'!$A$1:$BN$20</definedName>
    <definedName name="Z_03DBF24F_DDFC_4B38_B424_D953E4CEDD34_.wvu.PrintArea" localSheetId="7" hidden="1">'2025년 전체'!$A$1:$BN$20</definedName>
    <definedName name="Z_03DBF24F_DDFC_4B38_B424_D953E4CEDD34_.wvu.PrintArea" localSheetId="8" hidden="1">'2026년 전체'!$A$1:$AY$20</definedName>
    <definedName name="Z_03DBF24F_DDFC_4B38_B424_D953E4CEDD34_.wvu.PrintArea" localSheetId="0" hidden="1">'2601월'!$A$1:$AY$39</definedName>
    <definedName name="Z_03DBF24F_DDFC_4B38_B424_D953E4CEDD34_.wvu.PrintArea" localSheetId="1" hidden="1">'2602월'!$A$1:$AY$36</definedName>
    <definedName name="Z_03DBF24F_DDFC_4B38_B424_D953E4CEDD34_.wvu.PrintArea" localSheetId="2" hidden="1">'2603월'!$A$1:$AY$39</definedName>
    <definedName name="Z_03DBF24F_DDFC_4B38_B424_D953E4CEDD34_.wvu.PrintArea" localSheetId="3" hidden="1">'2604월'!$A$1:$AY$38</definedName>
    <definedName name="Z_03DBF24F_DDFC_4B38_B424_D953E4CEDD34_.wvu.PrintArea" localSheetId="4" hidden="1">'2605월'!$A$1:$AY$39</definedName>
    <definedName name="Z_03DBF24F_DDFC_4B38_B424_D953E4CEDD34_.wvu.PrintArea" localSheetId="5" hidden="1">'2606월'!$A$1:$AY$38</definedName>
    <definedName name="Z_044962DE_44A2_4575_AD54_D22C038B6DB4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</definedName>
    <definedName name="Z_044962DE_44A2_4575_AD54_D22C038B6DB4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</definedName>
    <definedName name="Z_044962DE_44A2_4575_AD54_D22C038B6DB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44962DE_44A2_4575_AD54_D22C038B6DB4_.wvu.PrintArea" localSheetId="6" hidden="1">'2024년 전체'!$A$1:$BN$20</definedName>
    <definedName name="Z_044962DE_44A2_4575_AD54_D22C038B6DB4_.wvu.PrintArea" localSheetId="7" hidden="1">'2025년 전체'!$A$1:$BN$20</definedName>
    <definedName name="Z_044962DE_44A2_4575_AD54_D22C038B6DB4_.wvu.PrintArea" localSheetId="8" hidden="1">'2026년 전체'!$A$1:$AY$20</definedName>
    <definedName name="Z_044962DE_44A2_4575_AD54_D22C038B6DB4_.wvu.PrintArea" localSheetId="0" hidden="1">'2601월'!$A$1:$AY$39</definedName>
    <definedName name="Z_044962DE_44A2_4575_AD54_D22C038B6DB4_.wvu.PrintArea" localSheetId="1" hidden="1">'2602월'!$A$1:$AY$36</definedName>
    <definedName name="Z_044962DE_44A2_4575_AD54_D22C038B6DB4_.wvu.PrintArea" localSheetId="2" hidden="1">'2603월'!$A$1:$AY$39</definedName>
    <definedName name="Z_044962DE_44A2_4575_AD54_D22C038B6DB4_.wvu.PrintArea" localSheetId="3" hidden="1">'2604월'!$A$1:$AY$38</definedName>
    <definedName name="Z_044962DE_44A2_4575_AD54_D22C038B6DB4_.wvu.PrintArea" localSheetId="4" hidden="1">'2605월'!$A$1:$AY$39</definedName>
    <definedName name="Z_044962DE_44A2_4575_AD54_D22C038B6DB4_.wvu.PrintArea" localSheetId="5" hidden="1">'2606월'!$A$1:$AY$38</definedName>
    <definedName name="Z_0521E321_444B_4579_B0F9_19F0E4C8431E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전체'!$BK:$BL,'2024년 전체'!$BO:$BT</definedName>
    <definedName name="Z_0521E321_444B_4579_B0F9_19F0E4C8431E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전체'!$BK:$BL,'2025년 전체'!$BO:$BT</definedName>
    <definedName name="Z_0521E321_444B_4579_B0F9_19F0E4C8431E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전체'!$AV:$AW,'2026년 전체'!$AZ:$BE</definedName>
    <definedName name="Z_0521E321_444B_4579_B0F9_19F0E4C8431E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0521E321_444B_4579_B0F9_19F0E4C8431E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0521E321_444B_4579_B0F9_19F0E4C8431E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0521E321_444B_4579_B0F9_19F0E4C8431E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0521E321_444B_4579_B0F9_19F0E4C8431E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0521E321_444B_4579_B0F9_19F0E4C8431E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0521E321_444B_4579_B0F9_19F0E4C8431E_.wvu.PrintArea" localSheetId="6" hidden="1">'2024년 전체'!$A$1:$BN$20</definedName>
    <definedName name="Z_0521E321_444B_4579_B0F9_19F0E4C8431E_.wvu.PrintArea" localSheetId="7" hidden="1">'2025년 전체'!$A$1:$BN$20</definedName>
    <definedName name="Z_0521E321_444B_4579_B0F9_19F0E4C8431E_.wvu.PrintArea" localSheetId="8" hidden="1">'2026년 전체'!$A$1:$AY$20</definedName>
    <definedName name="Z_0521E321_444B_4579_B0F9_19F0E4C8431E_.wvu.PrintArea" localSheetId="0" hidden="1">'2601월'!$A$1:$AY$39</definedName>
    <definedName name="Z_0521E321_444B_4579_B0F9_19F0E4C8431E_.wvu.PrintArea" localSheetId="1" hidden="1">'2602월'!$A$1:$AY$36</definedName>
    <definedName name="Z_0521E321_444B_4579_B0F9_19F0E4C8431E_.wvu.PrintArea" localSheetId="2" hidden="1">'2603월'!$A$1:$AY$39</definedName>
    <definedName name="Z_0521E321_444B_4579_B0F9_19F0E4C8431E_.wvu.PrintArea" localSheetId="3" hidden="1">'2604월'!$A$1:$AY$38</definedName>
    <definedName name="Z_0521E321_444B_4579_B0F9_19F0E4C8431E_.wvu.PrintArea" localSheetId="4" hidden="1">'2605월'!$A$1:$AY$39</definedName>
    <definedName name="Z_0521E321_444B_4579_B0F9_19F0E4C8431E_.wvu.PrintArea" localSheetId="5" hidden="1">'2606월'!$A$1:$AY$38</definedName>
    <definedName name="Z_05C5C452_A4A3_4FFD_BAD3_3AE2C978A4C0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05C5C452_A4A3_4FFD_BAD3_3AE2C978A4C0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05C5C452_A4A3_4FFD_BAD3_3AE2C978A4C0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05C5C452_A4A3_4FFD_BAD3_3AE2C978A4C0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05C5C452_A4A3_4FFD_BAD3_3AE2C978A4C0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05C5C452_A4A3_4FFD_BAD3_3AE2C978A4C0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05C5C452_A4A3_4FFD_BAD3_3AE2C978A4C0_.wvu.PrintArea" localSheetId="6" hidden="1">'2024년 전체'!$A$1:$BN$20</definedName>
    <definedName name="Z_05C5C452_A4A3_4FFD_BAD3_3AE2C978A4C0_.wvu.PrintArea" localSheetId="7" hidden="1">'2025년 전체'!$A$1:$BN$20</definedName>
    <definedName name="Z_05C5C452_A4A3_4FFD_BAD3_3AE2C978A4C0_.wvu.PrintArea" localSheetId="8" hidden="1">'2026년 전체'!$A$1:$AY$20</definedName>
    <definedName name="Z_05C5C452_A4A3_4FFD_BAD3_3AE2C978A4C0_.wvu.PrintArea" localSheetId="0" hidden="1">'2601월'!$A$1:$AY$39</definedName>
    <definedName name="Z_05C5C452_A4A3_4FFD_BAD3_3AE2C978A4C0_.wvu.PrintArea" localSheetId="1" hidden="1">'2602월'!$A$1:$AY$36</definedName>
    <definedName name="Z_05C5C452_A4A3_4FFD_BAD3_3AE2C978A4C0_.wvu.PrintArea" localSheetId="2" hidden="1">'2603월'!$A$1:$AY$39</definedName>
    <definedName name="Z_05C5C452_A4A3_4FFD_BAD3_3AE2C978A4C0_.wvu.PrintArea" localSheetId="3" hidden="1">'2604월'!$A$1:$AY$38</definedName>
    <definedName name="Z_05C5C452_A4A3_4FFD_BAD3_3AE2C978A4C0_.wvu.PrintArea" localSheetId="4" hidden="1">'2605월'!$A$1:$AY$39</definedName>
    <definedName name="Z_05C5C452_A4A3_4FFD_BAD3_3AE2C978A4C0_.wvu.PrintArea" localSheetId="5" hidden="1">'2606월'!$A$1:$AY$38</definedName>
    <definedName name="Z_07637EC3_469F_4205_900B_5A4BE382852A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07637EC3_469F_4205_900B_5A4BE382852A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07637EC3_469F_4205_900B_5A4BE382852A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07637EC3_469F_4205_900B_5A4BE382852A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07637EC3_469F_4205_900B_5A4BE382852A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07637EC3_469F_4205_900B_5A4BE382852A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07637EC3_469F_4205_900B_5A4BE382852A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07637EC3_469F_4205_900B_5A4BE382852A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07637EC3_469F_4205_900B_5A4BE382852A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07637EC3_469F_4205_900B_5A4BE382852A_.wvu.PrintArea" localSheetId="6" hidden="1">'2024년 전체'!$A$1:$BN$20</definedName>
    <definedName name="Z_07637EC3_469F_4205_900B_5A4BE382852A_.wvu.PrintArea" localSheetId="7" hidden="1">'2025년 전체'!$A$1:$BN$20</definedName>
    <definedName name="Z_07637EC3_469F_4205_900B_5A4BE382852A_.wvu.PrintArea" localSheetId="8" hidden="1">'2026년 전체'!$A$1:$AY$20</definedName>
    <definedName name="Z_07637EC3_469F_4205_900B_5A4BE382852A_.wvu.PrintArea" localSheetId="0" hidden="1">'2601월'!$A$1:$AY$39</definedName>
    <definedName name="Z_07637EC3_469F_4205_900B_5A4BE382852A_.wvu.PrintArea" localSheetId="1" hidden="1">'2602월'!$A$1:$AY$36</definedName>
    <definedName name="Z_07637EC3_469F_4205_900B_5A4BE382852A_.wvu.PrintArea" localSheetId="2" hidden="1">'2603월'!$A$1:$AY$39</definedName>
    <definedName name="Z_07637EC3_469F_4205_900B_5A4BE382852A_.wvu.PrintArea" localSheetId="3" hidden="1">'2604월'!$A$1:$AY$38</definedName>
    <definedName name="Z_07637EC3_469F_4205_900B_5A4BE382852A_.wvu.PrintArea" localSheetId="4" hidden="1">'2605월'!$A$1:$AY$39</definedName>
    <definedName name="Z_07637EC3_469F_4205_900B_5A4BE382852A_.wvu.PrintArea" localSheetId="5" hidden="1">'2606월'!$A$1:$AY$38</definedName>
    <definedName name="Z_07B742C5_B1F1_4E5A_908C_BC9E03773F82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07B742C5_B1F1_4E5A_908C_BC9E03773F82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07B742C5_B1F1_4E5A_908C_BC9E03773F82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07B742C5_B1F1_4E5A_908C_BC9E03773F82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07B742C5_B1F1_4E5A_908C_BC9E03773F82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07B742C5_B1F1_4E5A_908C_BC9E03773F82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07B742C5_B1F1_4E5A_908C_BC9E03773F82_.wvu.PrintArea" localSheetId="6" hidden="1">'2024년 전체'!$A$1:$BN$20</definedName>
    <definedName name="Z_07B742C5_B1F1_4E5A_908C_BC9E03773F82_.wvu.PrintArea" localSheetId="7" hidden="1">'2025년 전체'!$A$1:$BN$20</definedName>
    <definedName name="Z_07B742C5_B1F1_4E5A_908C_BC9E03773F82_.wvu.PrintArea" localSheetId="8" hidden="1">'2026년 전체'!$A$1:$AY$20</definedName>
    <definedName name="Z_07B742C5_B1F1_4E5A_908C_BC9E03773F82_.wvu.PrintArea" localSheetId="0" hidden="1">'2601월'!$A$1:$AY$39</definedName>
    <definedName name="Z_07B742C5_B1F1_4E5A_908C_BC9E03773F82_.wvu.PrintArea" localSheetId="1" hidden="1">'2602월'!$A$1:$AY$36</definedName>
    <definedName name="Z_07B742C5_B1F1_4E5A_908C_BC9E03773F82_.wvu.PrintArea" localSheetId="2" hidden="1">'2603월'!$A$1:$AY$39</definedName>
    <definedName name="Z_07B742C5_B1F1_4E5A_908C_BC9E03773F82_.wvu.PrintArea" localSheetId="3" hidden="1">'2604월'!$A$1:$AY$38</definedName>
    <definedName name="Z_07B742C5_B1F1_4E5A_908C_BC9E03773F82_.wvu.PrintArea" localSheetId="4" hidden="1">'2605월'!$A$1:$AY$39</definedName>
    <definedName name="Z_07B742C5_B1F1_4E5A_908C_BC9E03773F82_.wvu.PrintArea" localSheetId="5" hidden="1">'2606월'!$A$1:$AY$38</definedName>
    <definedName name="Z_0AAD92D6_59FA_4C2C_B771_E000005ED1FE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0AAD92D6_59FA_4C2C_B771_E000005ED1FE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0AAD92D6_59FA_4C2C_B771_E000005ED1FE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AAD92D6_59FA_4C2C_B771_E000005ED1FE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AAD92D6_59FA_4C2C_B771_E000005ED1FE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AAD92D6_59FA_4C2C_B771_E000005ED1FE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AAD92D6_59FA_4C2C_B771_E000005ED1FE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AAD92D6_59FA_4C2C_B771_E000005ED1FE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AAD92D6_59FA_4C2C_B771_E000005ED1FE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AAD92D6_59FA_4C2C_B771_E000005ED1FE_.wvu.PrintArea" localSheetId="6" hidden="1">'2024년 전체'!$A$1:$BR$20</definedName>
    <definedName name="Z_0AAD92D6_59FA_4C2C_B771_E000005ED1FE_.wvu.PrintArea" localSheetId="7" hidden="1">'2025년 전체'!$A$1:$BR$20</definedName>
    <definedName name="Z_0AAD92D6_59FA_4C2C_B771_E000005ED1FE_.wvu.PrintArea" localSheetId="8" hidden="1">'2026년 전체'!$A$1:$BC$20</definedName>
    <definedName name="Z_0AAD92D6_59FA_4C2C_B771_E000005ED1FE_.wvu.PrintArea" localSheetId="0" hidden="1">'2601월'!$A$1:$BC$39</definedName>
    <definedName name="Z_0AAD92D6_59FA_4C2C_B771_E000005ED1FE_.wvu.PrintArea" localSheetId="1" hidden="1">'2602월'!$A$1:$BC$36</definedName>
    <definedName name="Z_0AAD92D6_59FA_4C2C_B771_E000005ED1FE_.wvu.PrintArea" localSheetId="2" hidden="1">'2603월'!$A$1:$BC$39</definedName>
    <definedName name="Z_0AAD92D6_59FA_4C2C_B771_E000005ED1FE_.wvu.PrintArea" localSheetId="3" hidden="1">'2604월'!$A$1:$BC$38</definedName>
    <definedName name="Z_0AAD92D6_59FA_4C2C_B771_E000005ED1FE_.wvu.PrintArea" localSheetId="4" hidden="1">'2605월'!$A$1:$BC$39</definedName>
    <definedName name="Z_0AAD92D6_59FA_4C2C_B771_E000005ED1FE_.wvu.PrintArea" localSheetId="5" hidden="1">'2606월'!$A$1:$BC$38</definedName>
    <definedName name="Z_0B119899_39DF_4FF3_A61E_4A988907EB7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0B119899_39DF_4FF3_A61E_4A988907EB7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0B119899_39DF_4FF3_A61E_4A988907EB7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B119899_39DF_4FF3_A61E_4A988907EB7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B119899_39DF_4FF3_A61E_4A988907EB7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B119899_39DF_4FF3_A61E_4A988907EB7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B119899_39DF_4FF3_A61E_4A988907EB7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B119899_39DF_4FF3_A61E_4A988907EB7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B119899_39DF_4FF3_A61E_4A988907EB7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B119899_39DF_4FF3_A61E_4A988907EB76_.wvu.PrintArea" localSheetId="6" hidden="1">'2024년 전체'!$A$1:$BN$20</definedName>
    <definedName name="Z_0B119899_39DF_4FF3_A61E_4A988907EB76_.wvu.PrintArea" localSheetId="7" hidden="1">'2025년 전체'!$A$1:$BN$20</definedName>
    <definedName name="Z_0B119899_39DF_4FF3_A61E_4A988907EB76_.wvu.PrintArea" localSheetId="8" hidden="1">'2026년 전체'!$A$1:$AY$20</definedName>
    <definedName name="Z_0B119899_39DF_4FF3_A61E_4A988907EB76_.wvu.PrintArea" localSheetId="0" hidden="1">'2601월'!$A$1:$AY$39</definedName>
    <definedName name="Z_0B119899_39DF_4FF3_A61E_4A988907EB76_.wvu.PrintArea" localSheetId="1" hidden="1">'2602월'!$A$1:$AY$36</definedName>
    <definedName name="Z_0B119899_39DF_4FF3_A61E_4A988907EB76_.wvu.PrintArea" localSheetId="2" hidden="1">'2603월'!$A$1:$AY$39</definedName>
    <definedName name="Z_0B119899_39DF_4FF3_A61E_4A988907EB76_.wvu.PrintArea" localSheetId="3" hidden="1">'2604월'!$A$1:$AY$38</definedName>
    <definedName name="Z_0B119899_39DF_4FF3_A61E_4A988907EB76_.wvu.PrintArea" localSheetId="4" hidden="1">'2605월'!$A$1:$AY$39</definedName>
    <definedName name="Z_0B119899_39DF_4FF3_A61E_4A988907EB76_.wvu.PrintArea" localSheetId="5" hidden="1">'2606월'!$A$1:$AY$38</definedName>
    <definedName name="Z_0B9CA3F0_F113_49F8_A46B_E51FF0959EC4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0B9CA3F0_F113_49F8_A46B_E51FF0959EC4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0B9CA3F0_F113_49F8_A46B_E51FF0959EC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0B9CA3F0_F113_49F8_A46B_E51FF0959EC4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0B9CA3F0_F113_49F8_A46B_E51FF0959EC4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0B9CA3F0_F113_49F8_A46B_E51FF0959EC4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0B9CA3F0_F113_49F8_A46B_E51FF0959EC4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0B9CA3F0_F113_49F8_A46B_E51FF0959EC4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0B9CA3F0_F113_49F8_A46B_E51FF0959EC4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0B9CA3F0_F113_49F8_A46B_E51FF0959EC4_.wvu.PrintArea" localSheetId="6" hidden="1">'2024년 전체'!$A$1:$BN$20</definedName>
    <definedName name="Z_0B9CA3F0_F113_49F8_A46B_E51FF0959EC4_.wvu.PrintArea" localSheetId="7" hidden="1">'2025년 전체'!$A$1:$BN$20</definedName>
    <definedName name="Z_0B9CA3F0_F113_49F8_A46B_E51FF0959EC4_.wvu.PrintArea" localSheetId="8" hidden="1">'2026년 전체'!$A$1:$AY$20</definedName>
    <definedName name="Z_0B9CA3F0_F113_49F8_A46B_E51FF0959EC4_.wvu.PrintArea" localSheetId="0" hidden="1">'2601월'!$A$1:$AY$39</definedName>
    <definedName name="Z_0B9CA3F0_F113_49F8_A46B_E51FF0959EC4_.wvu.PrintArea" localSheetId="1" hidden="1">'2602월'!$A$1:$AY$36</definedName>
    <definedName name="Z_0B9CA3F0_F113_49F8_A46B_E51FF0959EC4_.wvu.PrintArea" localSheetId="2" hidden="1">'2603월'!$A$1:$AY$39</definedName>
    <definedName name="Z_0B9CA3F0_F113_49F8_A46B_E51FF0959EC4_.wvu.PrintArea" localSheetId="3" hidden="1">'2604월'!$A$1:$AY$38</definedName>
    <definedName name="Z_0B9CA3F0_F113_49F8_A46B_E51FF0959EC4_.wvu.PrintArea" localSheetId="4" hidden="1">'2605월'!$A$1:$AY$39</definedName>
    <definedName name="Z_0B9CA3F0_F113_49F8_A46B_E51FF0959EC4_.wvu.PrintArea" localSheetId="5" hidden="1">'2606월'!$A$1:$AY$38</definedName>
    <definedName name="Z_133661E5_5703_4F31_8BB4_3C768A1D3535_.wvu.PrintArea" localSheetId="6" hidden="1">'2024년 전체'!$A$1:$BN$20</definedName>
    <definedName name="Z_133661E5_5703_4F31_8BB4_3C768A1D3535_.wvu.PrintArea" localSheetId="7" hidden="1">'2025년 전체'!$A$1:$BN$20</definedName>
    <definedName name="Z_133661E5_5703_4F31_8BB4_3C768A1D3535_.wvu.PrintArea" localSheetId="8" hidden="1">'2026년 전체'!$A$1:$AY$20</definedName>
    <definedName name="Z_133661E5_5703_4F31_8BB4_3C768A1D3535_.wvu.PrintArea" localSheetId="0" hidden="1">'2601월'!$A$1:$AY$39</definedName>
    <definedName name="Z_133661E5_5703_4F31_8BB4_3C768A1D3535_.wvu.PrintArea" localSheetId="1" hidden="1">'2602월'!$A$1:$AY$36</definedName>
    <definedName name="Z_133661E5_5703_4F31_8BB4_3C768A1D3535_.wvu.PrintArea" localSheetId="2" hidden="1">'2603월'!$A$1:$AY$39</definedName>
    <definedName name="Z_133661E5_5703_4F31_8BB4_3C768A1D3535_.wvu.PrintArea" localSheetId="3" hidden="1">'2604월'!$A$1:$AY$38</definedName>
    <definedName name="Z_133661E5_5703_4F31_8BB4_3C768A1D3535_.wvu.PrintArea" localSheetId="4" hidden="1">'2605월'!$A$1:$AY$39</definedName>
    <definedName name="Z_133661E5_5703_4F31_8BB4_3C768A1D3535_.wvu.PrintArea" localSheetId="5" hidden="1">'2606월'!$A$1:$AY$38</definedName>
    <definedName name="Z_14D1CD7D_D05E_4375_849F_703F66676362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14D1CD7D_D05E_4375_849F_703F66676362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14D1CD7D_D05E_4375_849F_703F66676362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14D1CD7D_D05E_4375_849F_703F66676362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14D1CD7D_D05E_4375_849F_703F66676362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14D1CD7D_D05E_4375_849F_703F66676362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14D1CD7D_D05E_4375_849F_703F66676362_.wvu.PrintArea" localSheetId="6" hidden="1">'2024년 전체'!$A$1:$BN$20</definedName>
    <definedName name="Z_14D1CD7D_D05E_4375_849F_703F66676362_.wvu.PrintArea" localSheetId="7" hidden="1">'2025년 전체'!$A$1:$BN$20</definedName>
    <definedName name="Z_14D1CD7D_D05E_4375_849F_703F66676362_.wvu.PrintArea" localSheetId="8" hidden="1">'2026년 전체'!$A$1:$AY$20</definedName>
    <definedName name="Z_14D1CD7D_D05E_4375_849F_703F66676362_.wvu.PrintArea" localSheetId="0" hidden="1">'2601월'!$A$1:$AY$39</definedName>
    <definedName name="Z_14D1CD7D_D05E_4375_849F_703F66676362_.wvu.PrintArea" localSheetId="1" hidden="1">'2602월'!$A$1:$AY$36</definedName>
    <definedName name="Z_14D1CD7D_D05E_4375_849F_703F66676362_.wvu.PrintArea" localSheetId="2" hidden="1">'2603월'!$A$1:$AY$39</definedName>
    <definedName name="Z_14D1CD7D_D05E_4375_849F_703F66676362_.wvu.PrintArea" localSheetId="3" hidden="1">'2604월'!$A$1:$AY$38</definedName>
    <definedName name="Z_14D1CD7D_D05E_4375_849F_703F66676362_.wvu.PrintArea" localSheetId="4" hidden="1">'2605월'!$A$1:$AY$39</definedName>
    <definedName name="Z_14D1CD7D_D05E_4375_849F_703F66676362_.wvu.PrintArea" localSheetId="5" hidden="1">'2606월'!$A$1:$AY$38</definedName>
    <definedName name="Z_15810011_AA8B_4AF7_A5F3_FEE37EAC2944_.wvu.PrintArea" localSheetId="6" hidden="1">'2024년 전체'!$A$1:$BN$20</definedName>
    <definedName name="Z_15810011_AA8B_4AF7_A5F3_FEE37EAC2944_.wvu.PrintArea" localSheetId="7" hidden="1">'2025년 전체'!$A$1:$BN$20</definedName>
    <definedName name="Z_15810011_AA8B_4AF7_A5F3_FEE37EAC2944_.wvu.PrintArea" localSheetId="8" hidden="1">'2026년 전체'!$A$1:$AY$20</definedName>
    <definedName name="Z_17BE001A_3F94_46C0_8AB6_AB7BECE77F39_.wvu.PrintArea" localSheetId="6" hidden="1">'2024년 전체'!$A$1:$BR$20</definedName>
    <definedName name="Z_17BE001A_3F94_46C0_8AB6_AB7BECE77F39_.wvu.PrintArea" localSheetId="7" hidden="1">'2025년 전체'!$A$1:$BR$20</definedName>
    <definedName name="Z_17BE001A_3F94_46C0_8AB6_AB7BECE77F39_.wvu.PrintArea" localSheetId="8" hidden="1">'2026년 전체'!$A$1:$BC$20</definedName>
    <definedName name="Z_17BE001A_3F94_46C0_8AB6_AB7BECE77F39_.wvu.PrintArea" localSheetId="0" hidden="1">'2601월'!$A$1:$BC$39</definedName>
    <definedName name="Z_17BE001A_3F94_46C0_8AB6_AB7BECE77F39_.wvu.PrintArea" localSheetId="1" hidden="1">'2602월'!$A$1:$BC$36</definedName>
    <definedName name="Z_17BE001A_3F94_46C0_8AB6_AB7BECE77F39_.wvu.PrintArea" localSheetId="2" hidden="1">'2603월'!$A$1:$BC$39</definedName>
    <definedName name="Z_17BE001A_3F94_46C0_8AB6_AB7BECE77F39_.wvu.PrintArea" localSheetId="3" hidden="1">'2604월'!$A$1:$BC$38</definedName>
    <definedName name="Z_17BE001A_3F94_46C0_8AB6_AB7BECE77F39_.wvu.PrintArea" localSheetId="4" hidden="1">'2605월'!$A$1:$BC$39</definedName>
    <definedName name="Z_17BE001A_3F94_46C0_8AB6_AB7BECE77F39_.wvu.PrintArea" localSheetId="5" hidden="1">'2606월'!$A$1:$BC$38</definedName>
    <definedName name="Z_19B03449_4E64_4B77_B894_B3391E0034EE_.wvu.PrintArea" localSheetId="6" hidden="1">'2024년 전체'!$A$1:$BN$20</definedName>
    <definedName name="Z_19B03449_4E64_4B77_B894_B3391E0034EE_.wvu.PrintArea" localSheetId="7" hidden="1">'2025년 전체'!$A$1:$BN$20</definedName>
    <definedName name="Z_19B03449_4E64_4B77_B894_B3391E0034EE_.wvu.PrintArea" localSheetId="8" hidden="1">'2026년 전체'!$A$1:$AY$20</definedName>
    <definedName name="Z_1AC2DECF_10B0_41F9_898A_2718E56ABF34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1AC2DECF_10B0_41F9_898A_2718E56ABF34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1AC2DECF_10B0_41F9_898A_2718E56ABF3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1AC2DECF_10B0_41F9_898A_2718E56ABF34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1AC2DECF_10B0_41F9_898A_2718E56ABF34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1AC2DECF_10B0_41F9_898A_2718E56ABF34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1AC2DECF_10B0_41F9_898A_2718E56ABF34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1AC2DECF_10B0_41F9_898A_2718E56ABF34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1AC2DECF_10B0_41F9_898A_2718E56ABF34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1AC2DECF_10B0_41F9_898A_2718E56ABF34_.wvu.PrintArea" localSheetId="6" hidden="1">'2024년 전체'!$A$1:$BN$20</definedName>
    <definedName name="Z_1AC2DECF_10B0_41F9_898A_2718E56ABF34_.wvu.PrintArea" localSheetId="7" hidden="1">'2025년 전체'!$A$1:$BN$20</definedName>
    <definedName name="Z_1AC2DECF_10B0_41F9_898A_2718E56ABF34_.wvu.PrintArea" localSheetId="8" hidden="1">'2026년 전체'!$A$1:$AY$20</definedName>
    <definedName name="Z_1AC2DECF_10B0_41F9_898A_2718E56ABF34_.wvu.PrintArea" localSheetId="0" hidden="1">'2601월'!$A$1:$AY$39</definedName>
    <definedName name="Z_1AC2DECF_10B0_41F9_898A_2718E56ABF34_.wvu.PrintArea" localSheetId="1" hidden="1">'2602월'!$A$1:$AY$36</definedName>
    <definedName name="Z_1AC2DECF_10B0_41F9_898A_2718E56ABF34_.wvu.PrintArea" localSheetId="2" hidden="1">'2603월'!$A$1:$AY$39</definedName>
    <definedName name="Z_1AC2DECF_10B0_41F9_898A_2718E56ABF34_.wvu.PrintArea" localSheetId="3" hidden="1">'2604월'!$A$1:$AY$38</definedName>
    <definedName name="Z_1AC2DECF_10B0_41F9_898A_2718E56ABF34_.wvu.PrintArea" localSheetId="4" hidden="1">'2605월'!$A$1:$AY$39</definedName>
    <definedName name="Z_1AC2DECF_10B0_41F9_898A_2718E56ABF34_.wvu.PrintArea" localSheetId="5" hidden="1">'2606월'!$A$1:$AY$38</definedName>
    <definedName name="Z_1B6ADB1D_0C00_4BF1_AA99_4F4835E60725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1B6ADB1D_0C00_4BF1_AA99_4F4835E60725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1B6ADB1D_0C00_4BF1_AA99_4F4835E60725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1B6ADB1D_0C00_4BF1_AA99_4F4835E60725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1B6ADB1D_0C00_4BF1_AA99_4F4835E60725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1B6ADB1D_0C00_4BF1_AA99_4F4835E60725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1B6ADB1D_0C00_4BF1_AA99_4F4835E60725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1B6ADB1D_0C00_4BF1_AA99_4F4835E60725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1B6ADB1D_0C00_4BF1_AA99_4F4835E60725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1B6ADB1D_0C00_4BF1_AA99_4F4835E60725_.wvu.PrintArea" localSheetId="6" hidden="1">'2024년 전체'!$A$1:$BR$20</definedName>
    <definedName name="Z_1B6ADB1D_0C00_4BF1_AA99_4F4835E60725_.wvu.PrintArea" localSheetId="7" hidden="1">'2025년 전체'!$A$1:$BR$20</definedName>
    <definedName name="Z_1B6ADB1D_0C00_4BF1_AA99_4F4835E60725_.wvu.PrintArea" localSheetId="8" hidden="1">'2026년 전체'!$A$1:$BC$20</definedName>
    <definedName name="Z_1B6ADB1D_0C00_4BF1_AA99_4F4835E60725_.wvu.PrintArea" localSheetId="0" hidden="1">'2601월'!$A$1:$BC$39</definedName>
    <definedName name="Z_1B6ADB1D_0C00_4BF1_AA99_4F4835E60725_.wvu.PrintArea" localSheetId="1" hidden="1">'2602월'!$A$1:$BC$36</definedName>
    <definedName name="Z_1B6ADB1D_0C00_4BF1_AA99_4F4835E60725_.wvu.PrintArea" localSheetId="2" hidden="1">'2603월'!$A$1:$BC$39</definedName>
    <definedName name="Z_1B6ADB1D_0C00_4BF1_AA99_4F4835E60725_.wvu.PrintArea" localSheetId="3" hidden="1">'2604월'!$A$1:$BC$38</definedName>
    <definedName name="Z_1B6ADB1D_0C00_4BF1_AA99_4F4835E60725_.wvu.PrintArea" localSheetId="4" hidden="1">'2605월'!$A$1:$BC$39</definedName>
    <definedName name="Z_1B6ADB1D_0C00_4BF1_AA99_4F4835E60725_.wvu.PrintArea" localSheetId="5" hidden="1">'2606월'!$A$1:$BC$38</definedName>
    <definedName name="Z_1B72F9FA_6ED7_45AA_A4F8_0084502F135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1B72F9FA_6ED7_45AA_A4F8_0084502F135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1B72F9FA_6ED7_45AA_A4F8_0084502F135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1B72F9FA_6ED7_45AA_A4F8_0084502F135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1B72F9FA_6ED7_45AA_A4F8_0084502F135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1B72F9FA_6ED7_45AA_A4F8_0084502F135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1B72F9FA_6ED7_45AA_A4F8_0084502F1356_.wvu.PrintArea" localSheetId="0" hidden="1">'2601월'!$A$1:$AY$39</definedName>
    <definedName name="Z_1B72F9FA_6ED7_45AA_A4F8_0084502F1356_.wvu.PrintArea" localSheetId="1" hidden="1">'2602월'!$A$1:$AY$36</definedName>
    <definedName name="Z_1B72F9FA_6ED7_45AA_A4F8_0084502F1356_.wvu.PrintArea" localSheetId="2" hidden="1">'2603월'!$A$1:$AY$39</definedName>
    <definedName name="Z_1B72F9FA_6ED7_45AA_A4F8_0084502F1356_.wvu.PrintArea" localSheetId="3" hidden="1">'2604월'!$A$1:$AY$38</definedName>
    <definedName name="Z_1B72F9FA_6ED7_45AA_A4F8_0084502F1356_.wvu.PrintArea" localSheetId="4" hidden="1">'2605월'!$A$1:$AY$39</definedName>
    <definedName name="Z_1B72F9FA_6ED7_45AA_A4F8_0084502F1356_.wvu.PrintArea" localSheetId="5" hidden="1">'2606월'!$A$1:$AY$38</definedName>
    <definedName name="Z_1B80EFD9_80EB_4326_9F89_B4FA7561F3B5_.wvu.PrintArea" localSheetId="6" hidden="1">'2024년 전체'!$A$1:$BN$20</definedName>
    <definedName name="Z_1B80EFD9_80EB_4326_9F89_B4FA7561F3B5_.wvu.PrintArea" localSheetId="7" hidden="1">'2025년 전체'!$A$1:$BN$20</definedName>
    <definedName name="Z_1B80EFD9_80EB_4326_9F89_B4FA7561F3B5_.wvu.PrintArea" localSheetId="8" hidden="1">'2026년 전체'!$A$1:$AY$20</definedName>
    <definedName name="Z_1CB4E2A8_F958_4FD3_8EDC_4A124AD75014_.wvu.PrintArea" localSheetId="6" hidden="1">'2024년 전체'!$A$1:$BN$20</definedName>
    <definedName name="Z_1CB4E2A8_F958_4FD3_8EDC_4A124AD75014_.wvu.PrintArea" localSheetId="7" hidden="1">'2025년 전체'!$A$1:$BN$20</definedName>
    <definedName name="Z_1CB4E2A8_F958_4FD3_8EDC_4A124AD75014_.wvu.PrintArea" localSheetId="8" hidden="1">'2026년 전체'!$A$1:$AY$20</definedName>
    <definedName name="Z_1F2F0266_8C33_4B16_BBB2_406BF04AC03A_.wvu.PrintArea" localSheetId="6" hidden="1">'2024년 전체'!$A$1:$BN$20</definedName>
    <definedName name="Z_1F2F0266_8C33_4B16_BBB2_406BF04AC03A_.wvu.PrintArea" localSheetId="7" hidden="1">'2025년 전체'!$A$1:$BN$20</definedName>
    <definedName name="Z_1F2F0266_8C33_4B16_BBB2_406BF04AC03A_.wvu.PrintArea" localSheetId="8" hidden="1">'2026년 전체'!$A$1:$AY$20</definedName>
    <definedName name="Z_1F5017C2_45F2_49CB_8865_B8E8962C1713_.wvu.PrintArea" localSheetId="6" hidden="1">'2024년 전체'!$A$1:$BN$20</definedName>
    <definedName name="Z_1F5017C2_45F2_49CB_8865_B8E8962C1713_.wvu.PrintArea" localSheetId="7" hidden="1">'2025년 전체'!$A$1:$BN$20</definedName>
    <definedName name="Z_1F5017C2_45F2_49CB_8865_B8E8962C1713_.wvu.PrintArea" localSheetId="8" hidden="1">'2026년 전체'!$A$1:$AY$20</definedName>
    <definedName name="Z_1FD32FA4_4109_4116_B381_D2BDF71E004C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1FD32FA4_4109_4116_B381_D2BDF71E004C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1FD32FA4_4109_4116_B381_D2BDF71E004C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1FD32FA4_4109_4116_B381_D2BDF71E004C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1FD32FA4_4109_4116_B381_D2BDF71E004C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1FD32FA4_4109_4116_B381_D2BDF71E004C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1FD32FA4_4109_4116_B381_D2BDF71E004C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1FD32FA4_4109_4116_B381_D2BDF71E004C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1FD32FA4_4109_4116_B381_D2BDF71E004C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1FD32FA4_4109_4116_B381_D2BDF71E004C_.wvu.PrintArea" localSheetId="6" hidden="1">'2024년 전체'!$A$1:$BN$20</definedName>
    <definedName name="Z_1FD32FA4_4109_4116_B381_D2BDF71E004C_.wvu.PrintArea" localSheetId="7" hidden="1">'2025년 전체'!$A$1:$BN$20</definedName>
    <definedName name="Z_1FD32FA4_4109_4116_B381_D2BDF71E004C_.wvu.PrintArea" localSheetId="8" hidden="1">'2026년 전체'!$A$1:$AY$20</definedName>
    <definedName name="Z_1FD32FA4_4109_4116_B381_D2BDF71E004C_.wvu.PrintArea" localSheetId="0" hidden="1">'2601월'!$A$1:$AY$39</definedName>
    <definedName name="Z_1FD32FA4_4109_4116_B381_D2BDF71E004C_.wvu.PrintArea" localSheetId="1" hidden="1">'2602월'!$A$1:$AY$36</definedName>
    <definedName name="Z_1FD32FA4_4109_4116_B381_D2BDF71E004C_.wvu.PrintArea" localSheetId="2" hidden="1">'2603월'!$A$1:$AY$39</definedName>
    <definedName name="Z_1FD32FA4_4109_4116_B381_D2BDF71E004C_.wvu.PrintArea" localSheetId="3" hidden="1">'2604월'!$A$1:$AY$38</definedName>
    <definedName name="Z_1FD32FA4_4109_4116_B381_D2BDF71E004C_.wvu.PrintArea" localSheetId="4" hidden="1">'2605월'!$A$1:$AY$39</definedName>
    <definedName name="Z_1FD32FA4_4109_4116_B381_D2BDF71E004C_.wvu.PrintArea" localSheetId="5" hidden="1">'2606월'!$A$1:$AY$38</definedName>
    <definedName name="Z_20D13F52_7D84_4348_8D94_C11890A5E060_.wvu.PrintArea" localSheetId="6" hidden="1">'2024년 전체'!$A$1:$BN$20</definedName>
    <definedName name="Z_20D13F52_7D84_4348_8D94_C11890A5E060_.wvu.PrintArea" localSheetId="7" hidden="1">'2025년 전체'!$A$1:$BN$20</definedName>
    <definedName name="Z_20D13F52_7D84_4348_8D94_C11890A5E060_.wvu.PrintArea" localSheetId="8" hidden="1">'2026년 전체'!$A$1:$AY$20</definedName>
    <definedName name="Z_24CBEE38_E307_4F05_BA2A_C7299A3CA62D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24CBEE38_E307_4F05_BA2A_C7299A3CA62D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24CBEE38_E307_4F05_BA2A_C7299A3CA62D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24CBEE38_E307_4F05_BA2A_C7299A3CA62D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24CBEE38_E307_4F05_BA2A_C7299A3CA62D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24CBEE38_E307_4F05_BA2A_C7299A3CA62D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24CBEE38_E307_4F05_BA2A_C7299A3CA62D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24CBEE38_E307_4F05_BA2A_C7299A3CA62D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24CBEE38_E307_4F05_BA2A_C7299A3CA62D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24CBEE38_E307_4F05_BA2A_C7299A3CA62D_.wvu.PrintArea" localSheetId="6" hidden="1">'2024년 전체'!$A$1:$BN$20</definedName>
    <definedName name="Z_24CBEE38_E307_4F05_BA2A_C7299A3CA62D_.wvu.PrintArea" localSheetId="7" hidden="1">'2025년 전체'!$A$1:$BN$20</definedName>
    <definedName name="Z_24CBEE38_E307_4F05_BA2A_C7299A3CA62D_.wvu.PrintArea" localSheetId="8" hidden="1">'2026년 전체'!$A$1:$AY$20</definedName>
    <definedName name="Z_24CBEE38_E307_4F05_BA2A_C7299A3CA62D_.wvu.PrintArea" localSheetId="0" hidden="1">'2601월'!$A$1:$AY$39</definedName>
    <definedName name="Z_24CBEE38_E307_4F05_BA2A_C7299A3CA62D_.wvu.PrintArea" localSheetId="1" hidden="1">'2602월'!$A$1:$AY$36</definedName>
    <definedName name="Z_24CBEE38_E307_4F05_BA2A_C7299A3CA62D_.wvu.PrintArea" localSheetId="2" hidden="1">'2603월'!$A$1:$AY$39</definedName>
    <definedName name="Z_24CBEE38_E307_4F05_BA2A_C7299A3CA62D_.wvu.PrintArea" localSheetId="3" hidden="1">'2604월'!$A$1:$AY$38</definedName>
    <definedName name="Z_24CBEE38_E307_4F05_BA2A_C7299A3CA62D_.wvu.PrintArea" localSheetId="4" hidden="1">'2605월'!$A$1:$AY$39</definedName>
    <definedName name="Z_24CBEE38_E307_4F05_BA2A_C7299A3CA62D_.wvu.PrintArea" localSheetId="5" hidden="1">'2606월'!$A$1:$AY$38</definedName>
    <definedName name="Z_24E900BE_C05D_455B_A5F6_24EC38684D25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</definedName>
    <definedName name="Z_24E900BE_C05D_455B_A5F6_24EC38684D25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</definedName>
    <definedName name="Z_24E900BE_C05D_455B_A5F6_24EC38684D25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24E900BE_C05D_455B_A5F6_24EC38684D25_.wvu.PrintArea" localSheetId="6" hidden="1">'2024년 전체'!$A$1:$BN$20</definedName>
    <definedName name="Z_24E900BE_C05D_455B_A5F6_24EC38684D25_.wvu.PrintArea" localSheetId="7" hidden="1">'2025년 전체'!$A$1:$BN$20</definedName>
    <definedName name="Z_24E900BE_C05D_455B_A5F6_24EC38684D25_.wvu.PrintArea" localSheetId="8" hidden="1">'2026년 전체'!$A$1:$AY$20</definedName>
    <definedName name="Z_24E900BE_C05D_455B_A5F6_24EC38684D25_.wvu.PrintArea" localSheetId="0" hidden="1">'2601월'!$A$1:$AY$39</definedName>
    <definedName name="Z_24E900BE_C05D_455B_A5F6_24EC38684D25_.wvu.PrintArea" localSheetId="1" hidden="1">'2602월'!$A$1:$AY$36</definedName>
    <definedName name="Z_24E900BE_C05D_455B_A5F6_24EC38684D25_.wvu.PrintArea" localSheetId="2" hidden="1">'2603월'!$A$1:$AY$39</definedName>
    <definedName name="Z_24E900BE_C05D_455B_A5F6_24EC38684D25_.wvu.PrintArea" localSheetId="3" hidden="1">'2604월'!$A$1:$AY$38</definedName>
    <definedName name="Z_24E900BE_C05D_455B_A5F6_24EC38684D25_.wvu.PrintArea" localSheetId="4" hidden="1">'2605월'!$A$1:$AY$39</definedName>
    <definedName name="Z_24E900BE_C05D_455B_A5F6_24EC38684D25_.wvu.PrintArea" localSheetId="5" hidden="1">'2606월'!$A$1:$AY$38</definedName>
    <definedName name="Z_251CF010_9AB7_4B6E_88BD_ADC7995BC937_.wvu.PrintArea" localSheetId="6" hidden="1">'2024년 전체'!$A$1:$BN$20</definedName>
    <definedName name="Z_251CF010_9AB7_4B6E_88BD_ADC7995BC937_.wvu.PrintArea" localSheetId="7" hidden="1">'2025년 전체'!$A$1:$BN$20</definedName>
    <definedName name="Z_251CF010_9AB7_4B6E_88BD_ADC7995BC937_.wvu.PrintArea" localSheetId="8" hidden="1">'2026년 전체'!$A$1:$AY$20</definedName>
    <definedName name="Z_277A2E3D_ADCE_4519_AEA2_104E18EA0BF8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277A2E3D_ADCE_4519_AEA2_104E18EA0BF8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277A2E3D_ADCE_4519_AEA2_104E18EA0BF8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277A2E3D_ADCE_4519_AEA2_104E18EA0BF8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277A2E3D_ADCE_4519_AEA2_104E18EA0BF8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277A2E3D_ADCE_4519_AEA2_104E18EA0BF8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277A2E3D_ADCE_4519_AEA2_104E18EA0BF8_.wvu.PrintArea" localSheetId="0" hidden="1">'2601월'!$A$1:$AY$39</definedName>
    <definedName name="Z_277A2E3D_ADCE_4519_AEA2_104E18EA0BF8_.wvu.PrintArea" localSheetId="1" hidden="1">'2602월'!$A$1:$AY$36</definedName>
    <definedName name="Z_277A2E3D_ADCE_4519_AEA2_104E18EA0BF8_.wvu.PrintArea" localSheetId="2" hidden="1">'2603월'!$A$1:$AY$39</definedName>
    <definedName name="Z_277A2E3D_ADCE_4519_AEA2_104E18EA0BF8_.wvu.PrintArea" localSheetId="3" hidden="1">'2604월'!$A$1:$AY$38</definedName>
    <definedName name="Z_277A2E3D_ADCE_4519_AEA2_104E18EA0BF8_.wvu.PrintArea" localSheetId="4" hidden="1">'2605월'!$A$1:$AY$39</definedName>
    <definedName name="Z_277A2E3D_ADCE_4519_AEA2_104E18EA0BF8_.wvu.PrintArea" localSheetId="5" hidden="1">'2606월'!$A$1:$AY$38</definedName>
    <definedName name="Z_27933BC5_5B15_4EBE_A45A_BB244058E7E8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27933BC5_5B15_4EBE_A45A_BB244058E7E8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27933BC5_5B15_4EBE_A45A_BB244058E7E8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27933BC5_5B15_4EBE_A45A_BB244058E7E8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27933BC5_5B15_4EBE_A45A_BB244058E7E8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27933BC5_5B15_4EBE_A45A_BB244058E7E8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27933BC5_5B15_4EBE_A45A_BB244058E7E8_.wvu.PrintArea" localSheetId="6" hidden="1">'2024년 전체'!$A$1:$BN$20</definedName>
    <definedName name="Z_27933BC5_5B15_4EBE_A45A_BB244058E7E8_.wvu.PrintArea" localSheetId="7" hidden="1">'2025년 전체'!$A$1:$BN$20</definedName>
    <definedName name="Z_27933BC5_5B15_4EBE_A45A_BB244058E7E8_.wvu.PrintArea" localSheetId="8" hidden="1">'2026년 전체'!$A$1:$AY$20</definedName>
    <definedName name="Z_27933BC5_5B15_4EBE_A45A_BB244058E7E8_.wvu.PrintArea" localSheetId="0" hidden="1">'2601월'!$A$1:$AY$39</definedName>
    <definedName name="Z_27933BC5_5B15_4EBE_A45A_BB244058E7E8_.wvu.PrintArea" localSheetId="1" hidden="1">'2602월'!$A$1:$AY$36</definedName>
    <definedName name="Z_27933BC5_5B15_4EBE_A45A_BB244058E7E8_.wvu.PrintArea" localSheetId="2" hidden="1">'2603월'!$A$1:$AY$39</definedName>
    <definedName name="Z_27933BC5_5B15_4EBE_A45A_BB244058E7E8_.wvu.PrintArea" localSheetId="3" hidden="1">'2604월'!$A$1:$AY$38</definedName>
    <definedName name="Z_27933BC5_5B15_4EBE_A45A_BB244058E7E8_.wvu.PrintArea" localSheetId="4" hidden="1">'2605월'!$A$1:$AY$39</definedName>
    <definedName name="Z_27933BC5_5B15_4EBE_A45A_BB244058E7E8_.wvu.PrintArea" localSheetId="5" hidden="1">'2606월'!$A$1:$AY$38</definedName>
    <definedName name="Z_27A7AA78_DA34_48FB_B5CC_A039958AA7CA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</definedName>
    <definedName name="Z_27A7AA78_DA34_48FB_B5CC_A039958AA7CA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</definedName>
    <definedName name="Z_27A7AA78_DA34_48FB_B5CC_A039958AA7CA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27A7AA78_DA34_48FB_B5CC_A039958AA7CA_.wvu.PrintArea" localSheetId="6" hidden="1">'2024년 전체'!$A$1:$BN$20</definedName>
    <definedName name="Z_27A7AA78_DA34_48FB_B5CC_A039958AA7CA_.wvu.PrintArea" localSheetId="7" hidden="1">'2025년 전체'!$A$1:$BN$20</definedName>
    <definedName name="Z_27A7AA78_DA34_48FB_B5CC_A039958AA7CA_.wvu.PrintArea" localSheetId="8" hidden="1">'2026년 전체'!$A$1:$AY$20</definedName>
    <definedName name="Z_28664364_5F9D_406A_B076_9CE73365D5D3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28664364_5F9D_406A_B076_9CE73365D5D3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28664364_5F9D_406A_B076_9CE73365D5D3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28664364_5F9D_406A_B076_9CE73365D5D3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28664364_5F9D_406A_B076_9CE73365D5D3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28664364_5F9D_406A_B076_9CE73365D5D3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28664364_5F9D_406A_B076_9CE73365D5D3_.wvu.PrintArea" localSheetId="0" hidden="1">'2601월'!$A$1:$AY$39</definedName>
    <definedName name="Z_28664364_5F9D_406A_B076_9CE73365D5D3_.wvu.PrintArea" localSheetId="1" hidden="1">'2602월'!$A$1:$AY$36</definedName>
    <definedName name="Z_28664364_5F9D_406A_B076_9CE73365D5D3_.wvu.PrintArea" localSheetId="2" hidden="1">'2603월'!$A$1:$AY$39</definedName>
    <definedName name="Z_28664364_5F9D_406A_B076_9CE73365D5D3_.wvu.PrintArea" localSheetId="3" hidden="1">'2604월'!$A$1:$AY$38</definedName>
    <definedName name="Z_28664364_5F9D_406A_B076_9CE73365D5D3_.wvu.PrintArea" localSheetId="4" hidden="1">'2605월'!$A$1:$AY$39</definedName>
    <definedName name="Z_28664364_5F9D_406A_B076_9CE73365D5D3_.wvu.PrintArea" localSheetId="5" hidden="1">'2606월'!$A$1:$AY$38</definedName>
    <definedName name="Z_28FD3210_F2FA_491C_B011_C3C97F95903F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28FD3210_F2FA_491C_B011_C3C97F95903F_.wvu.PrintArea" localSheetId="6" hidden="1">'2024년 전체'!$A$1:$BN$20</definedName>
    <definedName name="Z_28FD3210_F2FA_491C_B011_C3C97F95903F_.wvu.PrintArea" localSheetId="7" hidden="1">'2025년 전체'!$A$1:$BN$20</definedName>
    <definedName name="Z_28FD3210_F2FA_491C_B011_C3C97F95903F_.wvu.PrintArea" localSheetId="8" hidden="1">'2026년 전체'!$A$1:$AY$20</definedName>
    <definedName name="Z_28FD3210_F2FA_491C_B011_C3C97F95903F_.wvu.PrintArea" localSheetId="0" hidden="1">'2601월'!$A$1:$AY$39</definedName>
    <definedName name="Z_28FD3210_F2FA_491C_B011_C3C97F95903F_.wvu.PrintArea" localSheetId="1" hidden="1">'2602월'!$A$1:$AY$36</definedName>
    <definedName name="Z_28FD3210_F2FA_491C_B011_C3C97F95903F_.wvu.PrintArea" localSheetId="2" hidden="1">'2603월'!$A$1:$AY$39</definedName>
    <definedName name="Z_28FD3210_F2FA_491C_B011_C3C97F95903F_.wvu.PrintArea" localSheetId="3" hidden="1">'2604월'!$A$1:$AY$38</definedName>
    <definedName name="Z_28FD3210_F2FA_491C_B011_C3C97F95903F_.wvu.PrintArea" localSheetId="4" hidden="1">'2605월'!$A$1:$AY$39</definedName>
    <definedName name="Z_28FD3210_F2FA_491C_B011_C3C97F95903F_.wvu.PrintArea" localSheetId="5" hidden="1">'2606월'!$A$1:$AY$38</definedName>
    <definedName name="Z_2B326519_AF89_49CC_8E88_1C336371CA24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2B326519_AF89_49CC_8E88_1C336371CA24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2B326519_AF89_49CC_8E88_1C336371CA24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2B326519_AF89_49CC_8E88_1C336371CA24_.wvu.Cols" localSheetId="0" hidden="1">'2601월'!$C:$C,'2601월'!$F:$F,'2601월'!$L:$O,'2601월'!$Q:$Q,'2601월'!$T:$T,'2601월'!$V:$AC,'2601월'!#REF!,'2601월'!#REF!,'2601월'!$AE:$AE,'2601월'!$AL:$AO,'2601월'!$AQ:$AQ</definedName>
    <definedName name="Z_2B326519_AF89_49CC_8E88_1C336371CA24_.wvu.Cols" localSheetId="1" hidden="1">'2602월'!$C:$C,'2602월'!$F:$F,'2602월'!$L:$O,'2602월'!$Q:$Q,'2602월'!$T:$T,'2602월'!$V:$AC,'2602월'!#REF!,'2602월'!#REF!,'2602월'!$AE:$AE,'2602월'!$AL:$AO,'2602월'!$AQ:$AQ</definedName>
    <definedName name="Z_2B326519_AF89_49CC_8E88_1C336371CA24_.wvu.Cols" localSheetId="2" hidden="1">'2603월'!$C:$C,'2603월'!$F:$F,'2603월'!$L:$O,'2603월'!$Q:$Q,'2603월'!$T:$T,'2603월'!$V:$AC,'2603월'!#REF!,'2603월'!#REF!,'2603월'!$AE:$AE,'2603월'!$AL:$AO,'2603월'!$AQ:$AQ</definedName>
    <definedName name="Z_2B326519_AF89_49CC_8E88_1C336371CA24_.wvu.Cols" localSheetId="3" hidden="1">'2604월'!$C:$C,'2604월'!$F:$F,'2604월'!$L:$O,'2604월'!$Q:$Q,'2604월'!$T:$T,'2604월'!$V:$AC,'2604월'!#REF!,'2604월'!#REF!,'2604월'!$AE:$AE,'2604월'!$AL:$AO,'2604월'!$AQ:$AQ</definedName>
    <definedName name="Z_2B326519_AF89_49CC_8E88_1C336371CA24_.wvu.Cols" localSheetId="4" hidden="1">'2605월'!$C:$C,'2605월'!$F:$F,'2605월'!$L:$O,'2605월'!$Q:$Q,'2605월'!$T:$T,'2605월'!$V:$AC,'2605월'!#REF!,'2605월'!#REF!,'2605월'!$AE:$AE,'2605월'!$AL:$AO,'2605월'!$AQ:$AQ</definedName>
    <definedName name="Z_2B326519_AF89_49CC_8E88_1C336371CA24_.wvu.Cols" localSheetId="5" hidden="1">'2606월'!$C:$C,'2606월'!$F:$F,'2606월'!$L:$O,'2606월'!$Q:$Q,'2606월'!$T:$T,'2606월'!$V:$AC,'2606월'!#REF!,'2606월'!#REF!,'2606월'!$AE:$AE,'2606월'!$AL:$AO,'2606월'!$AQ:$AQ</definedName>
    <definedName name="Z_2B326519_AF89_49CC_8E88_1C336371CA24_.wvu.PrintArea" localSheetId="6" hidden="1">'2024년 전체'!$A$1:$BR$20</definedName>
    <definedName name="Z_2B326519_AF89_49CC_8E88_1C336371CA24_.wvu.PrintArea" localSheetId="7" hidden="1">'2025년 전체'!$A$1:$BR$20</definedName>
    <definedName name="Z_2B326519_AF89_49CC_8E88_1C336371CA24_.wvu.PrintArea" localSheetId="8" hidden="1">'2026년 전체'!$A$1:$BC$20</definedName>
    <definedName name="Z_2B326519_AF89_49CC_8E88_1C336371CA24_.wvu.PrintArea" localSheetId="0" hidden="1">'2601월'!$A$1:$BC$39</definedName>
    <definedName name="Z_2B326519_AF89_49CC_8E88_1C336371CA24_.wvu.PrintArea" localSheetId="1" hidden="1">'2602월'!$A$1:$BC$36</definedName>
    <definedName name="Z_2B326519_AF89_49CC_8E88_1C336371CA24_.wvu.PrintArea" localSheetId="2" hidden="1">'2603월'!$A$1:$BC$39</definedName>
    <definedName name="Z_2B326519_AF89_49CC_8E88_1C336371CA24_.wvu.PrintArea" localSheetId="3" hidden="1">'2604월'!$A$1:$BC$38</definedName>
    <definedName name="Z_2B326519_AF89_49CC_8E88_1C336371CA24_.wvu.PrintArea" localSheetId="4" hidden="1">'2605월'!$A$1:$BC$39</definedName>
    <definedName name="Z_2B326519_AF89_49CC_8E88_1C336371CA24_.wvu.PrintArea" localSheetId="5" hidden="1">'2606월'!$A$1:$BC$38</definedName>
    <definedName name="Z_2BECD207_788D_4E22_BC0E_17E0B750C96A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2BECD207_788D_4E22_BC0E_17E0B750C96A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2BECD207_788D_4E22_BC0E_17E0B750C96A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2BECD207_788D_4E22_BC0E_17E0B750C96A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2BECD207_788D_4E22_BC0E_17E0B750C96A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2BECD207_788D_4E22_BC0E_17E0B750C96A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2BECD207_788D_4E22_BC0E_17E0B750C96A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2BECD207_788D_4E22_BC0E_17E0B750C96A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2BECD207_788D_4E22_BC0E_17E0B750C96A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2BECD207_788D_4E22_BC0E_17E0B750C96A_.wvu.PrintArea" localSheetId="6" hidden="1">'2024년 전체'!$A$1:$BN$20</definedName>
    <definedName name="Z_2BECD207_788D_4E22_BC0E_17E0B750C96A_.wvu.PrintArea" localSheetId="7" hidden="1">'2025년 전체'!$A$1:$BN$20</definedName>
    <definedName name="Z_2BECD207_788D_4E22_BC0E_17E0B750C96A_.wvu.PrintArea" localSheetId="8" hidden="1">'2026년 전체'!$A$1:$AY$20</definedName>
    <definedName name="Z_2BECD207_788D_4E22_BC0E_17E0B750C96A_.wvu.PrintArea" localSheetId="0" hidden="1">'2601월'!$A$1:$AY$39</definedName>
    <definedName name="Z_2BECD207_788D_4E22_BC0E_17E0B750C96A_.wvu.PrintArea" localSheetId="1" hidden="1">'2602월'!$A$1:$AY$36</definedName>
    <definedName name="Z_2BECD207_788D_4E22_BC0E_17E0B750C96A_.wvu.PrintArea" localSheetId="2" hidden="1">'2603월'!$A$1:$AY$39</definedName>
    <definedName name="Z_2BECD207_788D_4E22_BC0E_17E0B750C96A_.wvu.PrintArea" localSheetId="3" hidden="1">'2604월'!$A$1:$AY$38</definedName>
    <definedName name="Z_2BECD207_788D_4E22_BC0E_17E0B750C96A_.wvu.PrintArea" localSheetId="4" hidden="1">'2605월'!$A$1:$AY$39</definedName>
    <definedName name="Z_2BECD207_788D_4E22_BC0E_17E0B750C96A_.wvu.PrintArea" localSheetId="5" hidden="1">'2606월'!$A$1:$AY$38</definedName>
    <definedName name="Z_2CD9D33E_0FB7_4239_9FAD_C1B03CE543BA_.wvu.PrintArea" localSheetId="6" hidden="1">'2024년 전체'!$A$1:$BN$20</definedName>
    <definedName name="Z_2CD9D33E_0FB7_4239_9FAD_C1B03CE543BA_.wvu.PrintArea" localSheetId="7" hidden="1">'2025년 전체'!$A$1:$BN$20</definedName>
    <definedName name="Z_2CD9D33E_0FB7_4239_9FAD_C1B03CE543BA_.wvu.PrintArea" localSheetId="8" hidden="1">'2026년 전체'!$A$1:$AY$20</definedName>
    <definedName name="Z_2CE7556A_34FB_485D_A23C_F4077DAD132E_.wvu.PrintArea" localSheetId="6" hidden="1">'2024년 전체'!$A$1:$BN$20</definedName>
    <definedName name="Z_2CE7556A_34FB_485D_A23C_F4077DAD132E_.wvu.PrintArea" localSheetId="7" hidden="1">'2025년 전체'!$A$1:$BN$20</definedName>
    <definedName name="Z_2CE7556A_34FB_485D_A23C_F4077DAD132E_.wvu.PrintArea" localSheetId="8" hidden="1">'2026년 전체'!$A$1:$AY$20</definedName>
    <definedName name="Z_2D56EF83_E37F_424E_BE20_D02D17C073C7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2D56EF83_E37F_424E_BE20_D02D17C073C7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2D56EF83_E37F_424E_BE20_D02D17C073C7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2D56EF83_E37F_424E_BE20_D02D17C073C7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2D56EF83_E37F_424E_BE20_D02D17C073C7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2D56EF83_E37F_424E_BE20_D02D17C073C7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2D56EF83_E37F_424E_BE20_D02D17C073C7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2D56EF83_E37F_424E_BE20_D02D17C073C7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2D56EF83_E37F_424E_BE20_D02D17C073C7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2D56EF83_E37F_424E_BE20_D02D17C073C7_.wvu.PrintArea" localSheetId="6" hidden="1">'2024년 전체'!$A$1:$BN$20</definedName>
    <definedName name="Z_2D56EF83_E37F_424E_BE20_D02D17C073C7_.wvu.PrintArea" localSheetId="7" hidden="1">'2025년 전체'!$A$1:$BN$20</definedName>
    <definedName name="Z_2D56EF83_E37F_424E_BE20_D02D17C073C7_.wvu.PrintArea" localSheetId="8" hidden="1">'2026년 전체'!$A$1:$AY$20</definedName>
    <definedName name="Z_2D56EF83_E37F_424E_BE20_D02D17C073C7_.wvu.PrintArea" localSheetId="0" hidden="1">'2601월'!$A$1:$AY$39</definedName>
    <definedName name="Z_2D56EF83_E37F_424E_BE20_D02D17C073C7_.wvu.PrintArea" localSheetId="1" hidden="1">'2602월'!$A$1:$AY$36</definedName>
    <definedName name="Z_2D56EF83_E37F_424E_BE20_D02D17C073C7_.wvu.PrintArea" localSheetId="2" hidden="1">'2603월'!$A$1:$AY$39</definedName>
    <definedName name="Z_2D56EF83_E37F_424E_BE20_D02D17C073C7_.wvu.PrintArea" localSheetId="3" hidden="1">'2604월'!$A$1:$AY$38</definedName>
    <definedName name="Z_2D56EF83_E37F_424E_BE20_D02D17C073C7_.wvu.PrintArea" localSheetId="4" hidden="1">'2605월'!$A$1:$AY$39</definedName>
    <definedName name="Z_2D56EF83_E37F_424E_BE20_D02D17C073C7_.wvu.PrintArea" localSheetId="5" hidden="1">'2606월'!$A$1:$AY$38</definedName>
    <definedName name="Z_2ECF4B7E_ED78_4C3F_9AD9_C778B8FF204D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2ECF4B7E_ED78_4C3F_9AD9_C778B8FF204D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2ECF4B7E_ED78_4C3F_9AD9_C778B8FF204D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2ECF4B7E_ED78_4C3F_9AD9_C778B8FF204D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2ECF4B7E_ED78_4C3F_9AD9_C778B8FF204D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2ECF4B7E_ED78_4C3F_9AD9_C778B8FF204D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2ECF4B7E_ED78_4C3F_9AD9_C778B8FF204D_.wvu.PrintArea" localSheetId="6" hidden="1">'2024년 전체'!$A$1:$BN$20</definedName>
    <definedName name="Z_2ECF4B7E_ED78_4C3F_9AD9_C778B8FF204D_.wvu.PrintArea" localSheetId="7" hidden="1">'2025년 전체'!$A$1:$BN$20</definedName>
    <definedName name="Z_2ECF4B7E_ED78_4C3F_9AD9_C778B8FF204D_.wvu.PrintArea" localSheetId="8" hidden="1">'2026년 전체'!$A$1:$AY$20</definedName>
    <definedName name="Z_2ECF4B7E_ED78_4C3F_9AD9_C778B8FF204D_.wvu.PrintArea" localSheetId="0" hidden="1">'2601월'!$A$1:$AY$39</definedName>
    <definedName name="Z_2ECF4B7E_ED78_4C3F_9AD9_C778B8FF204D_.wvu.PrintArea" localSheetId="1" hidden="1">'2602월'!$A$1:$AY$36</definedName>
    <definedName name="Z_2ECF4B7E_ED78_4C3F_9AD9_C778B8FF204D_.wvu.PrintArea" localSheetId="2" hidden="1">'2603월'!$A$1:$AY$39</definedName>
    <definedName name="Z_2ECF4B7E_ED78_4C3F_9AD9_C778B8FF204D_.wvu.PrintArea" localSheetId="3" hidden="1">'2604월'!$A$1:$AY$38</definedName>
    <definedName name="Z_2ECF4B7E_ED78_4C3F_9AD9_C778B8FF204D_.wvu.PrintArea" localSheetId="4" hidden="1">'2605월'!$A$1:$AY$39</definedName>
    <definedName name="Z_2ECF4B7E_ED78_4C3F_9AD9_C778B8FF204D_.wvu.PrintArea" localSheetId="5" hidden="1">'2606월'!$A$1:$AY$38</definedName>
    <definedName name="Z_32276776_E951_4018_B232_9AEDB4965C84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전체'!$BK:$BL,'2024년 전체'!$BO:$BT</definedName>
    <definedName name="Z_32276776_E951_4018_B232_9AEDB4965C84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전체'!$BK:$BL,'2025년 전체'!$BO:$BT</definedName>
    <definedName name="Z_32276776_E951_4018_B232_9AEDB4965C8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전체'!$AV:$AW,'2026년 전체'!$AZ:$BE</definedName>
    <definedName name="Z_32276776_E951_4018_B232_9AEDB4965C84_.wvu.PrintArea" localSheetId="6" hidden="1">'2024년 전체'!$A$1:$BN$20</definedName>
    <definedName name="Z_32276776_E951_4018_B232_9AEDB4965C84_.wvu.PrintArea" localSheetId="7" hidden="1">'2025년 전체'!$A$1:$BN$20</definedName>
    <definedName name="Z_32276776_E951_4018_B232_9AEDB4965C84_.wvu.PrintArea" localSheetId="8" hidden="1">'2026년 전체'!$A$1:$AY$20</definedName>
    <definedName name="Z_32276776_E951_4018_B232_9AEDB4965C84_.wvu.PrintArea" localSheetId="0" hidden="1">'2601월'!$A$1:$AY$39</definedName>
    <definedName name="Z_32276776_E951_4018_B232_9AEDB4965C84_.wvu.PrintArea" localSheetId="1" hidden="1">'2602월'!$A$1:$AY$36</definedName>
    <definedName name="Z_32276776_E951_4018_B232_9AEDB4965C84_.wvu.PrintArea" localSheetId="2" hidden="1">'2603월'!$A$1:$AY$39</definedName>
    <definedName name="Z_32276776_E951_4018_B232_9AEDB4965C84_.wvu.PrintArea" localSheetId="3" hidden="1">'2604월'!$A$1:$AY$38</definedName>
    <definedName name="Z_32276776_E951_4018_B232_9AEDB4965C84_.wvu.PrintArea" localSheetId="4" hidden="1">'2605월'!$A$1:$AY$39</definedName>
    <definedName name="Z_32276776_E951_4018_B232_9AEDB4965C84_.wvu.PrintArea" localSheetId="5" hidden="1">'2606월'!$A$1:$AY$38</definedName>
    <definedName name="Z_331EEE6E_BF2F_4183_8857_AC7B1728DB21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331EEE6E_BF2F_4183_8857_AC7B1728DB21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331EEE6E_BF2F_4183_8857_AC7B1728DB21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331EEE6E_BF2F_4183_8857_AC7B1728DB21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331EEE6E_BF2F_4183_8857_AC7B1728DB21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331EEE6E_BF2F_4183_8857_AC7B1728DB21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331EEE6E_BF2F_4183_8857_AC7B1728DB21_.wvu.PrintArea" localSheetId="0" hidden="1">'2601월'!$A$1:$AY$39</definedName>
    <definedName name="Z_331EEE6E_BF2F_4183_8857_AC7B1728DB21_.wvu.PrintArea" localSheetId="1" hidden="1">'2602월'!$A$1:$AY$36</definedName>
    <definedName name="Z_331EEE6E_BF2F_4183_8857_AC7B1728DB21_.wvu.PrintArea" localSheetId="2" hidden="1">'2603월'!$A$1:$AY$39</definedName>
    <definedName name="Z_331EEE6E_BF2F_4183_8857_AC7B1728DB21_.wvu.PrintArea" localSheetId="3" hidden="1">'2604월'!$A$1:$AY$38</definedName>
    <definedName name="Z_331EEE6E_BF2F_4183_8857_AC7B1728DB21_.wvu.PrintArea" localSheetId="4" hidden="1">'2605월'!$A$1:$AY$39</definedName>
    <definedName name="Z_331EEE6E_BF2F_4183_8857_AC7B1728DB21_.wvu.PrintArea" localSheetId="5" hidden="1">'2606월'!$A$1:$AY$38</definedName>
    <definedName name="Z_36D3FE7F_B663_4338_B1B5_67955821C9A0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36D3FE7F_B663_4338_B1B5_67955821C9A0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36D3FE7F_B663_4338_B1B5_67955821C9A0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36D3FE7F_B663_4338_B1B5_67955821C9A0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36D3FE7F_B663_4338_B1B5_67955821C9A0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36D3FE7F_B663_4338_B1B5_67955821C9A0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36D3FE7F_B663_4338_B1B5_67955821C9A0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36D3FE7F_B663_4338_B1B5_67955821C9A0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36D3FE7F_B663_4338_B1B5_67955821C9A0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36D3FE7F_B663_4338_B1B5_67955821C9A0_.wvu.PrintArea" localSheetId="6" hidden="1">'2024년 전체'!$A$1:$BN$20</definedName>
    <definedName name="Z_36D3FE7F_B663_4338_B1B5_67955821C9A0_.wvu.PrintArea" localSheetId="7" hidden="1">'2025년 전체'!$A$1:$BN$20</definedName>
    <definedName name="Z_36D3FE7F_B663_4338_B1B5_67955821C9A0_.wvu.PrintArea" localSheetId="8" hidden="1">'2026년 전체'!$A$1:$AY$20</definedName>
    <definedName name="Z_36D3FE7F_B663_4338_B1B5_67955821C9A0_.wvu.PrintArea" localSheetId="0" hidden="1">'2601월'!$A$1:$AY$39</definedName>
    <definedName name="Z_36D3FE7F_B663_4338_B1B5_67955821C9A0_.wvu.PrintArea" localSheetId="1" hidden="1">'2602월'!$A$1:$AY$36</definedName>
    <definedName name="Z_36D3FE7F_B663_4338_B1B5_67955821C9A0_.wvu.PrintArea" localSheetId="2" hidden="1">'2603월'!$A$1:$AY$39</definedName>
    <definedName name="Z_36D3FE7F_B663_4338_B1B5_67955821C9A0_.wvu.PrintArea" localSheetId="3" hidden="1">'2604월'!$A$1:$AY$38</definedName>
    <definedName name="Z_36D3FE7F_B663_4338_B1B5_67955821C9A0_.wvu.PrintArea" localSheetId="4" hidden="1">'2605월'!$A$1:$AY$39</definedName>
    <definedName name="Z_36D3FE7F_B663_4338_B1B5_67955821C9A0_.wvu.PrintArea" localSheetId="5" hidden="1">'2606월'!$A$1:$AY$38</definedName>
    <definedName name="Z_375AD59B_1B49_475C_8DD3_C4E6C9B1559A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375AD59B_1B49_475C_8DD3_C4E6C9B1559A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375AD59B_1B49_475C_8DD3_C4E6C9B1559A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375AD59B_1B49_475C_8DD3_C4E6C9B1559A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375AD59B_1B49_475C_8DD3_C4E6C9B1559A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375AD59B_1B49_475C_8DD3_C4E6C9B1559A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375AD59B_1B49_475C_8DD3_C4E6C9B1559A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375AD59B_1B49_475C_8DD3_C4E6C9B1559A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375AD59B_1B49_475C_8DD3_C4E6C9B1559A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375AD59B_1B49_475C_8DD3_C4E6C9B1559A_.wvu.PrintArea" localSheetId="6" hidden="1">'2024년 전체'!$A$1:$BN$20</definedName>
    <definedName name="Z_375AD59B_1B49_475C_8DD3_C4E6C9B1559A_.wvu.PrintArea" localSheetId="7" hidden="1">'2025년 전체'!$A$1:$BN$20</definedName>
    <definedName name="Z_375AD59B_1B49_475C_8DD3_C4E6C9B1559A_.wvu.PrintArea" localSheetId="8" hidden="1">'2026년 전체'!$A$1:$AY$20</definedName>
    <definedName name="Z_375AD59B_1B49_475C_8DD3_C4E6C9B1559A_.wvu.PrintArea" localSheetId="0" hidden="1">'2601월'!$A$1:$AY$39</definedName>
    <definedName name="Z_375AD59B_1B49_475C_8DD3_C4E6C9B1559A_.wvu.PrintArea" localSheetId="1" hidden="1">'2602월'!$A$1:$AY$36</definedName>
    <definedName name="Z_375AD59B_1B49_475C_8DD3_C4E6C9B1559A_.wvu.PrintArea" localSheetId="2" hidden="1">'2603월'!$A$1:$AY$39</definedName>
    <definedName name="Z_375AD59B_1B49_475C_8DD3_C4E6C9B1559A_.wvu.PrintArea" localSheetId="3" hidden="1">'2604월'!$A$1:$AY$38</definedName>
    <definedName name="Z_375AD59B_1B49_475C_8DD3_C4E6C9B1559A_.wvu.PrintArea" localSheetId="4" hidden="1">'2605월'!$A$1:$AY$39</definedName>
    <definedName name="Z_375AD59B_1B49_475C_8DD3_C4E6C9B1559A_.wvu.PrintArea" localSheetId="5" hidden="1">'2606월'!$A$1:$AY$38</definedName>
    <definedName name="Z_3B2D9B7A_9E6B_4FFB_8D9A_AFA35E1388B7_.wvu.PrintArea" localSheetId="6" hidden="1">'2024년 전체'!$A$1:$BN$20</definedName>
    <definedName name="Z_3B2D9B7A_9E6B_4FFB_8D9A_AFA35E1388B7_.wvu.PrintArea" localSheetId="7" hidden="1">'2025년 전체'!$A$1:$BN$20</definedName>
    <definedName name="Z_3B2D9B7A_9E6B_4FFB_8D9A_AFA35E1388B7_.wvu.PrintArea" localSheetId="8" hidden="1">'2026년 전체'!$A$1:$AY$20</definedName>
    <definedName name="Z_3B3CED23_55E7_4194_B9DC_2687E88412FE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3B3CED23_55E7_4194_B9DC_2687E88412FE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3B3CED23_55E7_4194_B9DC_2687E88412FE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3B3CED23_55E7_4194_B9DC_2687E88412FE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3B3CED23_55E7_4194_B9DC_2687E88412FE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3B3CED23_55E7_4194_B9DC_2687E88412FE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3B3CED23_55E7_4194_B9DC_2687E88412FE_.wvu.PrintArea" localSheetId="0" hidden="1">'2601월'!$A$1:$AY$39</definedName>
    <definedName name="Z_3B3CED23_55E7_4194_B9DC_2687E88412FE_.wvu.PrintArea" localSheetId="1" hidden="1">'2602월'!$A$1:$AY$36</definedName>
    <definedName name="Z_3B3CED23_55E7_4194_B9DC_2687E88412FE_.wvu.PrintArea" localSheetId="2" hidden="1">'2603월'!$A$1:$AY$39</definedName>
    <definedName name="Z_3B3CED23_55E7_4194_B9DC_2687E88412FE_.wvu.PrintArea" localSheetId="3" hidden="1">'2604월'!$A$1:$AY$38</definedName>
    <definedName name="Z_3B3CED23_55E7_4194_B9DC_2687E88412FE_.wvu.PrintArea" localSheetId="4" hidden="1">'2605월'!$A$1:$AY$39</definedName>
    <definedName name="Z_3B3CED23_55E7_4194_B9DC_2687E88412FE_.wvu.PrintArea" localSheetId="5" hidden="1">'2606월'!$A$1:$AY$38</definedName>
    <definedName name="Z_3BC90F16_DA24_4C53_ACE7_1D9935A53E6B_.wvu.PrintArea" localSheetId="6" hidden="1">'2024년 전체'!$A$1:$BN$20</definedName>
    <definedName name="Z_3BC90F16_DA24_4C53_ACE7_1D9935A53E6B_.wvu.PrintArea" localSheetId="7" hidden="1">'2025년 전체'!$A$1:$BN$20</definedName>
    <definedName name="Z_3BC90F16_DA24_4C53_ACE7_1D9935A53E6B_.wvu.PrintArea" localSheetId="8" hidden="1">'2026년 전체'!$A$1:$AY$20</definedName>
    <definedName name="Z_3C928C50_30BA_4AD2_829B_17F9CA2DDA5B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3C928C50_30BA_4AD2_829B_17F9CA2DDA5B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3C928C50_30BA_4AD2_829B_17F9CA2DDA5B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3C928C50_30BA_4AD2_829B_17F9CA2DDA5B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3C928C50_30BA_4AD2_829B_17F9CA2DDA5B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3C928C50_30BA_4AD2_829B_17F9CA2DDA5B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3C928C50_30BA_4AD2_829B_17F9CA2DDA5B_.wvu.PrintArea" localSheetId="6" hidden="1">'2024년 전체'!$A$1:$BN$20</definedName>
    <definedName name="Z_3C928C50_30BA_4AD2_829B_17F9CA2DDA5B_.wvu.PrintArea" localSheetId="7" hidden="1">'2025년 전체'!$A$1:$BN$20</definedName>
    <definedName name="Z_3C928C50_30BA_4AD2_829B_17F9CA2DDA5B_.wvu.PrintArea" localSheetId="8" hidden="1">'2026년 전체'!$A$1:$AY$20</definedName>
    <definedName name="Z_3C928C50_30BA_4AD2_829B_17F9CA2DDA5B_.wvu.PrintArea" localSheetId="0" hidden="1">'2601월'!$A$1:$AY$39</definedName>
    <definedName name="Z_3C928C50_30BA_4AD2_829B_17F9CA2DDA5B_.wvu.PrintArea" localSheetId="1" hidden="1">'2602월'!$A$1:$AY$36</definedName>
    <definedName name="Z_3C928C50_30BA_4AD2_829B_17F9CA2DDA5B_.wvu.PrintArea" localSheetId="2" hidden="1">'2603월'!$A$1:$AY$39</definedName>
    <definedName name="Z_3C928C50_30BA_4AD2_829B_17F9CA2DDA5B_.wvu.PrintArea" localSheetId="3" hidden="1">'2604월'!$A$1:$AY$38</definedName>
    <definedName name="Z_3C928C50_30BA_4AD2_829B_17F9CA2DDA5B_.wvu.PrintArea" localSheetId="4" hidden="1">'2605월'!$A$1:$AY$39</definedName>
    <definedName name="Z_3C928C50_30BA_4AD2_829B_17F9CA2DDA5B_.wvu.PrintArea" localSheetId="5" hidden="1">'2606월'!$A$1:$AY$38</definedName>
    <definedName name="Z_3D431A4A_A442_4F1F_96CB_8B449ED46FED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3D431A4A_A442_4F1F_96CB_8B449ED46FED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3D431A4A_A442_4F1F_96CB_8B449ED46FED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3D431A4A_A442_4F1F_96CB_8B449ED46FED_.wvu.Cols" localSheetId="0" hidden="1">'2601월'!$C:$C,'2601월'!$F:$F,'2601월'!$L:$O,'2601월'!$Q:$Q,'2601월'!$T:$T,'2601월'!$V:$AC,'2601월'!#REF!,'2601월'!#REF!,'2601월'!$AE:$AE,'2601월'!$AL:$AO,'2601월'!$AQ:$AQ</definedName>
    <definedName name="Z_3D431A4A_A442_4F1F_96CB_8B449ED46FED_.wvu.Cols" localSheetId="1" hidden="1">'2602월'!$C:$C,'2602월'!$F:$F,'2602월'!$L:$O,'2602월'!$Q:$Q,'2602월'!$T:$T,'2602월'!$V:$AC,'2602월'!#REF!,'2602월'!#REF!,'2602월'!$AE:$AE,'2602월'!$AL:$AO,'2602월'!$AQ:$AQ</definedName>
    <definedName name="Z_3D431A4A_A442_4F1F_96CB_8B449ED46FED_.wvu.Cols" localSheetId="2" hidden="1">'2603월'!$C:$C,'2603월'!$F:$F,'2603월'!$L:$O,'2603월'!$Q:$Q,'2603월'!$T:$T,'2603월'!$V:$AC,'2603월'!#REF!,'2603월'!#REF!,'2603월'!$AE:$AE,'2603월'!$AL:$AO,'2603월'!$AQ:$AQ</definedName>
    <definedName name="Z_3D431A4A_A442_4F1F_96CB_8B449ED46FED_.wvu.Cols" localSheetId="3" hidden="1">'2604월'!$C:$C,'2604월'!$F:$F,'2604월'!$L:$O,'2604월'!$Q:$Q,'2604월'!$T:$T,'2604월'!$V:$AC,'2604월'!#REF!,'2604월'!#REF!,'2604월'!$AE:$AE,'2604월'!$AL:$AO,'2604월'!$AQ:$AQ</definedName>
    <definedName name="Z_3D431A4A_A442_4F1F_96CB_8B449ED46FED_.wvu.Cols" localSheetId="4" hidden="1">'2605월'!$C:$C,'2605월'!$F:$F,'2605월'!$L:$O,'2605월'!$Q:$Q,'2605월'!$T:$T,'2605월'!$V:$AC,'2605월'!#REF!,'2605월'!#REF!,'2605월'!$AE:$AE,'2605월'!$AL:$AO,'2605월'!$AQ:$AQ</definedName>
    <definedName name="Z_3D431A4A_A442_4F1F_96CB_8B449ED46FED_.wvu.Cols" localSheetId="5" hidden="1">'2606월'!$C:$C,'2606월'!$F:$F,'2606월'!$L:$O,'2606월'!$Q:$Q,'2606월'!$T:$T,'2606월'!$V:$AC,'2606월'!#REF!,'2606월'!#REF!,'2606월'!$AE:$AE,'2606월'!$AL:$AO,'2606월'!$AQ:$AQ</definedName>
    <definedName name="Z_3D431A4A_A442_4F1F_96CB_8B449ED46FED_.wvu.PrintArea" localSheetId="6" hidden="1">'2024년 전체'!$A$1:$BR$20</definedName>
    <definedName name="Z_3D431A4A_A442_4F1F_96CB_8B449ED46FED_.wvu.PrintArea" localSheetId="7" hidden="1">'2025년 전체'!$A$1:$BR$20</definedName>
    <definedName name="Z_3D431A4A_A442_4F1F_96CB_8B449ED46FED_.wvu.PrintArea" localSheetId="8" hidden="1">'2026년 전체'!$A$1:$BC$20</definedName>
    <definedName name="Z_3D431A4A_A442_4F1F_96CB_8B449ED46FED_.wvu.PrintArea" localSheetId="0" hidden="1">'2601월'!$A$1:$BC$39</definedName>
    <definedName name="Z_3D431A4A_A442_4F1F_96CB_8B449ED46FED_.wvu.PrintArea" localSheetId="1" hidden="1">'2602월'!$A$1:$BC$36</definedName>
    <definedName name="Z_3D431A4A_A442_4F1F_96CB_8B449ED46FED_.wvu.PrintArea" localSheetId="2" hidden="1">'2603월'!$A$1:$BC$39</definedName>
    <definedName name="Z_3D431A4A_A442_4F1F_96CB_8B449ED46FED_.wvu.PrintArea" localSheetId="3" hidden="1">'2604월'!$A$1:$BC$38</definedName>
    <definedName name="Z_3D431A4A_A442_4F1F_96CB_8B449ED46FED_.wvu.PrintArea" localSheetId="4" hidden="1">'2605월'!$A$1:$BC$39</definedName>
    <definedName name="Z_3D431A4A_A442_4F1F_96CB_8B449ED46FED_.wvu.PrintArea" localSheetId="5" hidden="1">'2606월'!$A$1:$BC$38</definedName>
    <definedName name="Z_42A884E2_9BD0_43B0_9B0C_0010ABBD7315_.wvu.PrintArea" localSheetId="6" hidden="1">'2024년 전체'!$A$1:$BN$20</definedName>
    <definedName name="Z_42A884E2_9BD0_43B0_9B0C_0010ABBD7315_.wvu.PrintArea" localSheetId="7" hidden="1">'2025년 전체'!$A$1:$BN$20</definedName>
    <definedName name="Z_42A884E2_9BD0_43B0_9B0C_0010ABBD7315_.wvu.PrintArea" localSheetId="8" hidden="1">'2026년 전체'!$A$1:$AY$20</definedName>
    <definedName name="Z_42A884E2_9BD0_43B0_9B0C_0010ABBD7315_.wvu.PrintArea" localSheetId="0" hidden="1">'2601월'!$A$1:$AY$39</definedName>
    <definedName name="Z_42A884E2_9BD0_43B0_9B0C_0010ABBD7315_.wvu.PrintArea" localSheetId="1" hidden="1">'2602월'!$A$1:$AY$36</definedName>
    <definedName name="Z_42A884E2_9BD0_43B0_9B0C_0010ABBD7315_.wvu.PrintArea" localSheetId="2" hidden="1">'2603월'!$A$1:$AY$39</definedName>
    <definedName name="Z_42A884E2_9BD0_43B0_9B0C_0010ABBD7315_.wvu.PrintArea" localSheetId="3" hidden="1">'2604월'!$A$1:$AY$38</definedName>
    <definedName name="Z_42A884E2_9BD0_43B0_9B0C_0010ABBD7315_.wvu.PrintArea" localSheetId="4" hidden="1">'2605월'!$A$1:$AY$39</definedName>
    <definedName name="Z_42A884E2_9BD0_43B0_9B0C_0010ABBD7315_.wvu.PrintArea" localSheetId="5" hidden="1">'2606월'!$A$1:$AY$38</definedName>
    <definedName name="Z_430C4A07_F04C_41ED_8971_5A66808C47AB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430C4A07_F04C_41ED_8971_5A66808C47AB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430C4A07_F04C_41ED_8971_5A66808C47AB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430C4A07_F04C_41ED_8971_5A66808C47AB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430C4A07_F04C_41ED_8971_5A66808C47AB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430C4A07_F04C_41ED_8971_5A66808C47AB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430C4A07_F04C_41ED_8971_5A66808C47AB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430C4A07_F04C_41ED_8971_5A66808C47AB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430C4A07_F04C_41ED_8971_5A66808C47AB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430C4A07_F04C_41ED_8971_5A66808C47AB_.wvu.PrintArea" localSheetId="6" hidden="1">'2024년 전체'!$A$1:$BN$20</definedName>
    <definedName name="Z_430C4A07_F04C_41ED_8971_5A66808C47AB_.wvu.PrintArea" localSheetId="7" hidden="1">'2025년 전체'!$A$1:$BN$20</definedName>
    <definedName name="Z_430C4A07_F04C_41ED_8971_5A66808C47AB_.wvu.PrintArea" localSheetId="8" hidden="1">'2026년 전체'!$A$1:$AY$20</definedName>
    <definedName name="Z_430C4A07_F04C_41ED_8971_5A66808C47AB_.wvu.PrintArea" localSheetId="0" hidden="1">'2601월'!$A$1:$AY$39</definedName>
    <definedName name="Z_430C4A07_F04C_41ED_8971_5A66808C47AB_.wvu.PrintArea" localSheetId="1" hidden="1">'2602월'!$A$1:$AY$36</definedName>
    <definedName name="Z_430C4A07_F04C_41ED_8971_5A66808C47AB_.wvu.PrintArea" localSheetId="2" hidden="1">'2603월'!$A$1:$AY$39</definedName>
    <definedName name="Z_430C4A07_F04C_41ED_8971_5A66808C47AB_.wvu.PrintArea" localSheetId="3" hidden="1">'2604월'!$A$1:$AY$38</definedName>
    <definedName name="Z_430C4A07_F04C_41ED_8971_5A66808C47AB_.wvu.PrintArea" localSheetId="4" hidden="1">'2605월'!$A$1:$AY$39</definedName>
    <definedName name="Z_430C4A07_F04C_41ED_8971_5A66808C47AB_.wvu.PrintArea" localSheetId="5" hidden="1">'2606월'!$A$1:$AY$38</definedName>
    <definedName name="Z_45885567_8855_437A_9A0B_F3599190B2AB_.wvu.PrintArea" localSheetId="6" hidden="1">'2024년 전체'!$A$1:$BN$20</definedName>
    <definedName name="Z_45885567_8855_437A_9A0B_F3599190B2AB_.wvu.PrintArea" localSheetId="7" hidden="1">'2025년 전체'!$A$1:$BN$20</definedName>
    <definedName name="Z_45885567_8855_437A_9A0B_F3599190B2AB_.wvu.PrintArea" localSheetId="8" hidden="1">'2026년 전체'!$A$1:$AY$20</definedName>
    <definedName name="Z_469FB3D4_86B8_485A_AAF7_3C142B8B10F7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469FB3D4_86B8_485A_AAF7_3C142B8B10F7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469FB3D4_86B8_485A_AAF7_3C142B8B10F7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469FB3D4_86B8_485A_AAF7_3C142B8B10F7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469FB3D4_86B8_485A_AAF7_3C142B8B10F7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469FB3D4_86B8_485A_AAF7_3C142B8B10F7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469FB3D4_86B8_485A_AAF7_3C142B8B10F7_.wvu.PrintArea" localSheetId="6" hidden="1">'2024년 전체'!$A$1:$BN$20</definedName>
    <definedName name="Z_469FB3D4_86B8_485A_AAF7_3C142B8B10F7_.wvu.PrintArea" localSheetId="7" hidden="1">'2025년 전체'!$A$1:$BN$20</definedName>
    <definedName name="Z_469FB3D4_86B8_485A_AAF7_3C142B8B10F7_.wvu.PrintArea" localSheetId="8" hidden="1">'2026년 전체'!$A$1:$AY$20</definedName>
    <definedName name="Z_469FB3D4_86B8_485A_AAF7_3C142B8B10F7_.wvu.PrintArea" localSheetId="0" hidden="1">'2601월'!$A$1:$AY$39</definedName>
    <definedName name="Z_469FB3D4_86B8_485A_AAF7_3C142B8B10F7_.wvu.PrintArea" localSheetId="1" hidden="1">'2602월'!$A$1:$AY$36</definedName>
    <definedName name="Z_469FB3D4_86B8_485A_AAF7_3C142B8B10F7_.wvu.PrintArea" localSheetId="2" hidden="1">'2603월'!$A$1:$AY$39</definedName>
    <definedName name="Z_469FB3D4_86B8_485A_AAF7_3C142B8B10F7_.wvu.PrintArea" localSheetId="3" hidden="1">'2604월'!$A$1:$AY$38</definedName>
    <definedName name="Z_469FB3D4_86B8_485A_AAF7_3C142B8B10F7_.wvu.PrintArea" localSheetId="4" hidden="1">'2605월'!$A$1:$AY$39</definedName>
    <definedName name="Z_469FB3D4_86B8_485A_AAF7_3C142B8B10F7_.wvu.PrintArea" localSheetId="5" hidden="1">'2606월'!$A$1:$AY$38</definedName>
    <definedName name="Z_46D3BD52_FE54_4C0D_A795_DD3EE56FFC9D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46D3BD52_FE54_4C0D_A795_DD3EE56FFC9D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46D3BD52_FE54_4C0D_A795_DD3EE56FFC9D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46D3BD52_FE54_4C0D_A795_DD3EE56FFC9D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46D3BD52_FE54_4C0D_A795_DD3EE56FFC9D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46D3BD52_FE54_4C0D_A795_DD3EE56FFC9D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46D3BD52_FE54_4C0D_A795_DD3EE56FFC9D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46D3BD52_FE54_4C0D_A795_DD3EE56FFC9D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46D3BD52_FE54_4C0D_A795_DD3EE56FFC9D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46D3BD52_FE54_4C0D_A795_DD3EE56FFC9D_.wvu.PrintArea" localSheetId="6" hidden="1">'2024년 전체'!$A$1:$BR$20</definedName>
    <definedName name="Z_46D3BD52_FE54_4C0D_A795_DD3EE56FFC9D_.wvu.PrintArea" localSheetId="7" hidden="1">'2025년 전체'!$A$1:$BR$20</definedName>
    <definedName name="Z_46D3BD52_FE54_4C0D_A795_DD3EE56FFC9D_.wvu.PrintArea" localSheetId="8" hidden="1">'2026년 전체'!$A$1:$BC$20</definedName>
    <definedName name="Z_46D3BD52_FE54_4C0D_A795_DD3EE56FFC9D_.wvu.PrintArea" localSheetId="0" hidden="1">'2601월'!$A$1:$BC$39</definedName>
    <definedName name="Z_46D3BD52_FE54_4C0D_A795_DD3EE56FFC9D_.wvu.PrintArea" localSheetId="1" hidden="1">'2602월'!$A$1:$BC$36</definedName>
    <definedName name="Z_46D3BD52_FE54_4C0D_A795_DD3EE56FFC9D_.wvu.PrintArea" localSheetId="2" hidden="1">'2603월'!$A$1:$BC$39</definedName>
    <definedName name="Z_46D3BD52_FE54_4C0D_A795_DD3EE56FFC9D_.wvu.PrintArea" localSheetId="3" hidden="1">'2604월'!$A$1:$BC$38</definedName>
    <definedName name="Z_46D3BD52_FE54_4C0D_A795_DD3EE56FFC9D_.wvu.PrintArea" localSheetId="4" hidden="1">'2605월'!$A$1:$BC$39</definedName>
    <definedName name="Z_46D3BD52_FE54_4C0D_A795_DD3EE56FFC9D_.wvu.PrintArea" localSheetId="5" hidden="1">'2606월'!$A$1:$BC$38</definedName>
    <definedName name="Z_47BB7615_70ED_46E1_813D_D00ED2C746CA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47BB7615_70ED_46E1_813D_D00ED2C746CA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47BB7615_70ED_46E1_813D_D00ED2C746CA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47BB7615_70ED_46E1_813D_D00ED2C746CA_.wvu.PrintArea" localSheetId="6" hidden="1">'2024년 전체'!$A$1:$BN$20</definedName>
    <definedName name="Z_47BB7615_70ED_46E1_813D_D00ED2C746CA_.wvu.PrintArea" localSheetId="7" hidden="1">'2025년 전체'!$A$1:$BN$20</definedName>
    <definedName name="Z_47BB7615_70ED_46E1_813D_D00ED2C746CA_.wvu.PrintArea" localSheetId="8" hidden="1">'2026년 전체'!$A$1:$AY$20</definedName>
    <definedName name="Z_47BB7615_70ED_46E1_813D_D00ED2C746CA_.wvu.PrintArea" localSheetId="0" hidden="1">'2601월'!$A$1:$AY$39</definedName>
    <definedName name="Z_47BB7615_70ED_46E1_813D_D00ED2C746CA_.wvu.PrintArea" localSheetId="1" hidden="1">'2602월'!$A$1:$AY$36</definedName>
    <definedName name="Z_47BB7615_70ED_46E1_813D_D00ED2C746CA_.wvu.PrintArea" localSheetId="2" hidden="1">'2603월'!$A$1:$AY$39</definedName>
    <definedName name="Z_47BB7615_70ED_46E1_813D_D00ED2C746CA_.wvu.PrintArea" localSheetId="3" hidden="1">'2604월'!$A$1:$AY$38</definedName>
    <definedName name="Z_47BB7615_70ED_46E1_813D_D00ED2C746CA_.wvu.PrintArea" localSheetId="4" hidden="1">'2605월'!$A$1:$AY$39</definedName>
    <definedName name="Z_47BB7615_70ED_46E1_813D_D00ED2C746CA_.wvu.PrintArea" localSheetId="5" hidden="1">'2606월'!$A$1:$AY$38</definedName>
    <definedName name="Z_4C1BFA30_99F9_4E5B_988E_FB29B5E481A0_.wvu.PrintArea" localSheetId="6" hidden="1">'2024년 전체'!$A$1:$BN$20</definedName>
    <definedName name="Z_4C1BFA30_99F9_4E5B_988E_FB29B5E481A0_.wvu.PrintArea" localSheetId="7" hidden="1">'2025년 전체'!$A$1:$BN$20</definedName>
    <definedName name="Z_4C1BFA30_99F9_4E5B_988E_FB29B5E481A0_.wvu.PrintArea" localSheetId="8" hidden="1">'2026년 전체'!$A$1:$AY$20</definedName>
    <definedName name="Z_5088680C_4BB3_40D8_9770_18A43B129086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5088680C_4BB3_40D8_9770_18A43B129086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5088680C_4BB3_40D8_9770_18A43B129086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5088680C_4BB3_40D8_9770_18A43B129086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5088680C_4BB3_40D8_9770_18A43B129086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5088680C_4BB3_40D8_9770_18A43B129086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5088680C_4BB3_40D8_9770_18A43B129086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5088680C_4BB3_40D8_9770_18A43B129086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5088680C_4BB3_40D8_9770_18A43B129086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5088680C_4BB3_40D8_9770_18A43B129086_.wvu.PrintArea" localSheetId="6" hidden="1">'2024년 전체'!$A$1:$BN$20</definedName>
    <definedName name="Z_5088680C_4BB3_40D8_9770_18A43B129086_.wvu.PrintArea" localSheetId="7" hidden="1">'2025년 전체'!$A$1:$BN$20</definedName>
    <definedName name="Z_5088680C_4BB3_40D8_9770_18A43B129086_.wvu.PrintArea" localSheetId="8" hidden="1">'2026년 전체'!$A$1:$AY$20</definedName>
    <definedName name="Z_5088680C_4BB3_40D8_9770_18A43B129086_.wvu.PrintArea" localSheetId="0" hidden="1">'2601월'!$A$1:$AY$39</definedName>
    <definedName name="Z_5088680C_4BB3_40D8_9770_18A43B129086_.wvu.PrintArea" localSheetId="1" hidden="1">'2602월'!$A$1:$AY$36</definedName>
    <definedName name="Z_5088680C_4BB3_40D8_9770_18A43B129086_.wvu.PrintArea" localSheetId="2" hidden="1">'2603월'!$A$1:$AY$39</definedName>
    <definedName name="Z_5088680C_4BB3_40D8_9770_18A43B129086_.wvu.PrintArea" localSheetId="3" hidden="1">'2604월'!$A$1:$AY$38</definedName>
    <definedName name="Z_5088680C_4BB3_40D8_9770_18A43B129086_.wvu.PrintArea" localSheetId="4" hidden="1">'2605월'!$A$1:$AY$39</definedName>
    <definedName name="Z_5088680C_4BB3_40D8_9770_18A43B129086_.wvu.PrintArea" localSheetId="5" hidden="1">'2606월'!$A$1:$AY$38</definedName>
    <definedName name="Z_52CD6964_D30E_4C0A_BA60_F5FAF9FE2615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52CD6964_D30E_4C0A_BA60_F5FAF9FE2615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52CD6964_D30E_4C0A_BA60_F5FAF9FE2615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52CD6964_D30E_4C0A_BA60_F5FAF9FE2615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52CD6964_D30E_4C0A_BA60_F5FAF9FE2615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52CD6964_D30E_4C0A_BA60_F5FAF9FE2615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52CD6964_D30E_4C0A_BA60_F5FAF9FE2615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52CD6964_D30E_4C0A_BA60_F5FAF9FE2615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52CD6964_D30E_4C0A_BA60_F5FAF9FE2615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52CD6964_D30E_4C0A_BA60_F5FAF9FE2615_.wvu.PrintArea" localSheetId="6" hidden="1">'2024년 전체'!$A$1:$BN$20</definedName>
    <definedName name="Z_52CD6964_D30E_4C0A_BA60_F5FAF9FE2615_.wvu.PrintArea" localSheetId="7" hidden="1">'2025년 전체'!$A$1:$BN$20</definedName>
    <definedName name="Z_52CD6964_D30E_4C0A_BA60_F5FAF9FE2615_.wvu.PrintArea" localSheetId="8" hidden="1">'2026년 전체'!$A$1:$AY$20</definedName>
    <definedName name="Z_52CD6964_D30E_4C0A_BA60_F5FAF9FE2615_.wvu.PrintArea" localSheetId="0" hidden="1">'2601월'!$A$1:$AY$39</definedName>
    <definedName name="Z_52CD6964_D30E_4C0A_BA60_F5FAF9FE2615_.wvu.PrintArea" localSheetId="1" hidden="1">'2602월'!$A$1:$AY$36</definedName>
    <definedName name="Z_52CD6964_D30E_4C0A_BA60_F5FAF9FE2615_.wvu.PrintArea" localSheetId="2" hidden="1">'2603월'!$A$1:$AY$39</definedName>
    <definedName name="Z_52CD6964_D30E_4C0A_BA60_F5FAF9FE2615_.wvu.PrintArea" localSheetId="3" hidden="1">'2604월'!$A$1:$AY$38</definedName>
    <definedName name="Z_52CD6964_D30E_4C0A_BA60_F5FAF9FE2615_.wvu.PrintArea" localSheetId="4" hidden="1">'2605월'!$A$1:$AY$39</definedName>
    <definedName name="Z_52CD6964_D30E_4C0A_BA60_F5FAF9FE2615_.wvu.PrintArea" localSheetId="5" hidden="1">'2606월'!$A$1:$AY$38</definedName>
    <definedName name="Z_54083B42_8D96_4875_8D8A_35C17A713710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54083B42_8D96_4875_8D8A_35C17A713710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54083B42_8D96_4875_8D8A_35C17A713710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54083B42_8D96_4875_8D8A_35C17A713710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54083B42_8D96_4875_8D8A_35C17A713710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54083B42_8D96_4875_8D8A_35C17A713710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54083B42_8D96_4875_8D8A_35C17A713710_.wvu.PrintArea" localSheetId="6" hidden="1">'2024년 전체'!$A$1:$BN$20</definedName>
    <definedName name="Z_54083B42_8D96_4875_8D8A_35C17A713710_.wvu.PrintArea" localSheetId="7" hidden="1">'2025년 전체'!$A$1:$BN$20</definedName>
    <definedName name="Z_54083B42_8D96_4875_8D8A_35C17A713710_.wvu.PrintArea" localSheetId="8" hidden="1">'2026년 전체'!$A$1:$AY$20</definedName>
    <definedName name="Z_54083B42_8D96_4875_8D8A_35C17A713710_.wvu.PrintArea" localSheetId="0" hidden="1">'2601월'!$A$1:$AY$39</definedName>
    <definedName name="Z_54083B42_8D96_4875_8D8A_35C17A713710_.wvu.PrintArea" localSheetId="1" hidden="1">'2602월'!$A$1:$AY$36</definedName>
    <definedName name="Z_54083B42_8D96_4875_8D8A_35C17A713710_.wvu.PrintArea" localSheetId="2" hidden="1">'2603월'!$A$1:$AY$39</definedName>
    <definedName name="Z_54083B42_8D96_4875_8D8A_35C17A713710_.wvu.PrintArea" localSheetId="3" hidden="1">'2604월'!$A$1:$AY$38</definedName>
    <definedName name="Z_54083B42_8D96_4875_8D8A_35C17A713710_.wvu.PrintArea" localSheetId="4" hidden="1">'2605월'!$A$1:$AY$39</definedName>
    <definedName name="Z_54083B42_8D96_4875_8D8A_35C17A713710_.wvu.PrintArea" localSheetId="5" hidden="1">'2606월'!$A$1:$AY$38</definedName>
    <definedName name="Z_55588C0E_7F0E_496A_ABF7_E611C9597F0E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55588C0E_7F0E_496A_ABF7_E611C9597F0E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55588C0E_7F0E_496A_ABF7_E611C9597F0E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55588C0E_7F0E_496A_ABF7_E611C9597F0E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55588C0E_7F0E_496A_ABF7_E611C9597F0E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55588C0E_7F0E_496A_ABF7_E611C9597F0E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55588C0E_7F0E_496A_ABF7_E611C9597F0E_.wvu.PrintArea" localSheetId="6" hidden="1">'2024년 전체'!$A$1:$BN$20</definedName>
    <definedName name="Z_55588C0E_7F0E_496A_ABF7_E611C9597F0E_.wvu.PrintArea" localSheetId="7" hidden="1">'2025년 전체'!$A$1:$BN$20</definedName>
    <definedName name="Z_55588C0E_7F0E_496A_ABF7_E611C9597F0E_.wvu.PrintArea" localSheetId="8" hidden="1">'2026년 전체'!$A$1:$AY$20</definedName>
    <definedName name="Z_55588C0E_7F0E_496A_ABF7_E611C9597F0E_.wvu.PrintArea" localSheetId="0" hidden="1">'2601월'!$A$1:$AY$39</definedName>
    <definedName name="Z_55588C0E_7F0E_496A_ABF7_E611C9597F0E_.wvu.PrintArea" localSheetId="1" hidden="1">'2602월'!$A$1:$AY$36</definedName>
    <definedName name="Z_55588C0E_7F0E_496A_ABF7_E611C9597F0E_.wvu.PrintArea" localSheetId="2" hidden="1">'2603월'!$A$1:$AY$39</definedName>
    <definedName name="Z_55588C0E_7F0E_496A_ABF7_E611C9597F0E_.wvu.PrintArea" localSheetId="3" hidden="1">'2604월'!$A$1:$AY$38</definedName>
    <definedName name="Z_55588C0E_7F0E_496A_ABF7_E611C9597F0E_.wvu.PrintArea" localSheetId="4" hidden="1">'2605월'!$A$1:$AY$39</definedName>
    <definedName name="Z_55588C0E_7F0E_496A_ABF7_E611C9597F0E_.wvu.PrintArea" localSheetId="5" hidden="1">'2606월'!$A$1:$AY$38</definedName>
    <definedName name="Z_589ECF4D_927E_479D_A99E_F0E21C2EB965_.wvu.PrintArea" localSheetId="6" hidden="1">'2024년 전체'!$A$1:$BN$20</definedName>
    <definedName name="Z_589ECF4D_927E_479D_A99E_F0E21C2EB965_.wvu.PrintArea" localSheetId="7" hidden="1">'2025년 전체'!$A$1:$BN$20</definedName>
    <definedName name="Z_589ECF4D_927E_479D_A99E_F0E21C2EB965_.wvu.PrintArea" localSheetId="8" hidden="1">'2026년 전체'!$A$1:$AY$20</definedName>
    <definedName name="Z_58AC46A0_C379_4DED_858E_5B9E131A98CC_.wvu.PrintArea" localSheetId="6" hidden="1">'2024년 전체'!$A$1:$BN$20</definedName>
    <definedName name="Z_58AC46A0_C379_4DED_858E_5B9E131A98CC_.wvu.PrintArea" localSheetId="7" hidden="1">'2025년 전체'!$A$1:$BN$20</definedName>
    <definedName name="Z_58AC46A0_C379_4DED_858E_5B9E131A98CC_.wvu.PrintArea" localSheetId="8" hidden="1">'2026년 전체'!$A$1:$AY$20</definedName>
    <definedName name="Z_5B86775D_4ABF_4B2D_BC9D_CE807EB78231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5B86775D_4ABF_4B2D_BC9D_CE807EB78231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5B86775D_4ABF_4B2D_BC9D_CE807EB78231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5B86775D_4ABF_4B2D_BC9D_CE807EB78231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5B86775D_4ABF_4B2D_BC9D_CE807EB78231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5B86775D_4ABF_4B2D_BC9D_CE807EB78231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5B86775D_4ABF_4B2D_BC9D_CE807EB78231_.wvu.PrintArea" localSheetId="0" hidden="1">'2601월'!$A$1:$AY$39</definedName>
    <definedName name="Z_5B86775D_4ABF_4B2D_BC9D_CE807EB78231_.wvu.PrintArea" localSheetId="1" hidden="1">'2602월'!$A$1:$AY$36</definedName>
    <definedName name="Z_5B86775D_4ABF_4B2D_BC9D_CE807EB78231_.wvu.PrintArea" localSheetId="2" hidden="1">'2603월'!$A$1:$AY$39</definedName>
    <definedName name="Z_5B86775D_4ABF_4B2D_BC9D_CE807EB78231_.wvu.PrintArea" localSheetId="3" hidden="1">'2604월'!$A$1:$AY$38</definedName>
    <definedName name="Z_5B86775D_4ABF_4B2D_BC9D_CE807EB78231_.wvu.PrintArea" localSheetId="4" hidden="1">'2605월'!$A$1:$AY$39</definedName>
    <definedName name="Z_5B86775D_4ABF_4B2D_BC9D_CE807EB78231_.wvu.PrintArea" localSheetId="5" hidden="1">'2606월'!$A$1:$AY$38</definedName>
    <definedName name="Z_5C7FEEB0_B78B_4101_8305_4296FAF3BD05_.wvu.PrintArea" localSheetId="6" hidden="1">'2024년 전체'!$A$1:$BR$20</definedName>
    <definedName name="Z_5C7FEEB0_B78B_4101_8305_4296FAF3BD05_.wvu.PrintArea" localSheetId="7" hidden="1">'2025년 전체'!$A$1:$BR$20</definedName>
    <definedName name="Z_5C7FEEB0_B78B_4101_8305_4296FAF3BD05_.wvu.PrintArea" localSheetId="8" hidden="1">'2026년 전체'!$A$1:$BC$20</definedName>
    <definedName name="Z_5C7FEEB0_B78B_4101_8305_4296FAF3BD05_.wvu.PrintArea" localSheetId="0" hidden="1">'2601월'!$A$1:$BC$39</definedName>
    <definedName name="Z_5C7FEEB0_B78B_4101_8305_4296FAF3BD05_.wvu.PrintArea" localSheetId="1" hidden="1">'2602월'!$A$1:$BC$36</definedName>
    <definedName name="Z_5C7FEEB0_B78B_4101_8305_4296FAF3BD05_.wvu.PrintArea" localSheetId="2" hidden="1">'2603월'!$A$1:$BC$39</definedName>
    <definedName name="Z_5C7FEEB0_B78B_4101_8305_4296FAF3BD05_.wvu.PrintArea" localSheetId="3" hidden="1">'2604월'!$A$1:$BC$38</definedName>
    <definedName name="Z_5C7FEEB0_B78B_4101_8305_4296FAF3BD05_.wvu.PrintArea" localSheetId="4" hidden="1">'2605월'!$A$1:$BC$39</definedName>
    <definedName name="Z_5C7FEEB0_B78B_4101_8305_4296FAF3BD05_.wvu.PrintArea" localSheetId="5" hidden="1">'2606월'!$A$1:$BC$38</definedName>
    <definedName name="Z_5D595658_C90F_499F_8662_585ECD871E84_.wvu.PrintArea" localSheetId="6" hidden="1">'2024년 전체'!$A$1:$BR$20</definedName>
    <definedName name="Z_5D595658_C90F_499F_8662_585ECD871E84_.wvu.PrintArea" localSheetId="7" hidden="1">'2025년 전체'!$A$1:$BR$20</definedName>
    <definedName name="Z_5D595658_C90F_499F_8662_585ECD871E84_.wvu.PrintArea" localSheetId="8" hidden="1">'2026년 전체'!$A$1:$BC$20</definedName>
    <definedName name="Z_5D595658_C90F_499F_8662_585ECD871E84_.wvu.PrintArea" localSheetId="0" hidden="1">'2601월'!$A$1:$BC$39</definedName>
    <definedName name="Z_5D595658_C90F_499F_8662_585ECD871E84_.wvu.PrintArea" localSheetId="1" hidden="1">'2602월'!$A$1:$BC$36</definedName>
    <definedName name="Z_5D595658_C90F_499F_8662_585ECD871E84_.wvu.PrintArea" localSheetId="2" hidden="1">'2603월'!$A$1:$BC$39</definedName>
    <definedName name="Z_5D595658_C90F_499F_8662_585ECD871E84_.wvu.PrintArea" localSheetId="3" hidden="1">'2604월'!$A$1:$BC$38</definedName>
    <definedName name="Z_5D595658_C90F_499F_8662_585ECD871E84_.wvu.PrintArea" localSheetId="4" hidden="1">'2605월'!$A$1:$BC$39</definedName>
    <definedName name="Z_5D595658_C90F_499F_8662_585ECD871E84_.wvu.PrintArea" localSheetId="5" hidden="1">'2606월'!$A$1:$BC$38</definedName>
    <definedName name="Z_5E2F889E_A8D0_455D_8008_B05C65B08874_.wvu.PrintArea" localSheetId="6" hidden="1">'2024년 전체'!$A$1:$BN$20</definedName>
    <definedName name="Z_5E2F889E_A8D0_455D_8008_B05C65B08874_.wvu.PrintArea" localSheetId="7" hidden="1">'2025년 전체'!$A$1:$BN$20</definedName>
    <definedName name="Z_5E2F889E_A8D0_455D_8008_B05C65B08874_.wvu.PrintArea" localSheetId="8" hidden="1">'2026년 전체'!$A$1:$AY$20</definedName>
    <definedName name="Z_5E3BE34A_3045_42DA_A388_E4E4BF7C67B2_.wvu.PrintArea" localSheetId="6" hidden="1">'2024년 전체'!$A$1:$BN$20</definedName>
    <definedName name="Z_5E3BE34A_3045_42DA_A388_E4E4BF7C67B2_.wvu.PrintArea" localSheetId="7" hidden="1">'2025년 전체'!$A$1:$BN$20</definedName>
    <definedName name="Z_5E3BE34A_3045_42DA_A388_E4E4BF7C67B2_.wvu.PrintArea" localSheetId="8" hidden="1">'2026년 전체'!$A$1:$AY$20</definedName>
    <definedName name="Z_6014EC6B_E951_4001_A680_AFB52E04C0CC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6014EC6B_E951_4001_A680_AFB52E04C0CC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6014EC6B_E951_4001_A680_AFB52E04C0CC_.wvu.Cols" localSheetId="0" hidden="1">'2601월'!$F:$F,'2601월'!$H:$O,'2601월'!$T:$T,'2601월'!$V:$AC,'2601월'!$AH:$AO,'2601월'!$AV:$AW,'2601월'!$AZ:$BE</definedName>
    <definedName name="Z_6014EC6B_E951_4001_A680_AFB52E04C0CC_.wvu.Cols" localSheetId="2" hidden="1">'2603월'!$F:$F,'2603월'!$H:$O,'2603월'!$T:$T,'2603월'!$V:$AC,'2603월'!$AH:$AO,'2603월'!$AV:$AW,'2603월'!$AZ:$BD</definedName>
    <definedName name="Z_6014EC6B_E951_4001_A680_AFB52E04C0CC_.wvu.Cols" localSheetId="3" hidden="1">'2604월'!$F:$F,'2604월'!$H:$O,'2604월'!$T:$T,'2604월'!$V:$AC,'2604월'!$AH:$AO,'2604월'!$AV:$AW,'2604월'!$AZ:$BE</definedName>
    <definedName name="Z_6014EC6B_E951_4001_A680_AFB52E04C0CC_.wvu.Cols" localSheetId="4" hidden="1">'2605월'!$F:$F,'2605월'!$H:$O,'2605월'!$T:$T,'2605월'!$V:$AC,'2605월'!$AH:$AO,'2605월'!$AV:$AW,'2605월'!$AZ:$BE</definedName>
    <definedName name="Z_6014EC6B_E951_4001_A680_AFB52E04C0CC_.wvu.Cols" localSheetId="5" hidden="1">'2606월'!$F:$F,'2606월'!$H:$O,'2606월'!$T:$T,'2606월'!$V:$AC,'2606월'!$AH:$AO,'2606월'!$AV:$AW,'2606월'!$AZ:$BE</definedName>
    <definedName name="Z_6014EC6B_E951_4001_A680_AFB52E04C0CC_.wvu.PrintArea" localSheetId="6" hidden="1">'2024년 전체'!$A$1:$BN$20</definedName>
    <definedName name="Z_6014EC6B_E951_4001_A680_AFB52E04C0CC_.wvu.PrintArea" localSheetId="7" hidden="1">'2025년 전체'!$A$1:$BN$20</definedName>
    <definedName name="Z_6014EC6B_E951_4001_A680_AFB52E04C0CC_.wvu.PrintArea" localSheetId="8" hidden="1">'2026년 전체'!$A$1:$AY$20</definedName>
    <definedName name="Z_6014EC6B_E951_4001_A680_AFB52E04C0CC_.wvu.PrintArea" localSheetId="0" hidden="1">'2601월'!$A$1:$AY$39</definedName>
    <definedName name="Z_6014EC6B_E951_4001_A680_AFB52E04C0CC_.wvu.PrintArea" localSheetId="1" hidden="1">'2602월'!$A$1:$AY$36</definedName>
    <definedName name="Z_6014EC6B_E951_4001_A680_AFB52E04C0CC_.wvu.PrintArea" localSheetId="2" hidden="1">'2603월'!$A$1:$AY$39</definedName>
    <definedName name="Z_6014EC6B_E951_4001_A680_AFB52E04C0CC_.wvu.PrintArea" localSheetId="3" hidden="1">'2604월'!$A$1:$AY$38</definedName>
    <definedName name="Z_6014EC6B_E951_4001_A680_AFB52E04C0CC_.wvu.PrintArea" localSheetId="4" hidden="1">'2605월'!$A$1:$AY$39</definedName>
    <definedName name="Z_6014EC6B_E951_4001_A680_AFB52E04C0CC_.wvu.PrintArea" localSheetId="5" hidden="1">'2606월'!$A$1:$AY$38</definedName>
    <definedName name="Z_611C8E2F_3E2A_4A2A_9E9E_AAFA15EA9C86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611C8E2F_3E2A_4A2A_9E9E_AAFA15EA9C86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611C8E2F_3E2A_4A2A_9E9E_AAFA15EA9C86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611C8E2F_3E2A_4A2A_9E9E_AAFA15EA9C86_.wvu.Cols" localSheetId="0" hidden="1">'2601월'!$F:$F,'2601월'!$H:$O,'2601월'!$T:$T,'2601월'!$V:$AC,'2601월'!$AH:$AO,'2601월'!$AV:$AW,'2601월'!$AZ:$BE</definedName>
    <definedName name="Z_611C8E2F_3E2A_4A2A_9E9E_AAFA15EA9C86_.wvu.Cols" localSheetId="1" hidden="1">'2602월'!$F:$F,'2602월'!$H:$O,'2602월'!$T:$T,'2602월'!$V:$AC,'2602월'!$AH:$AO,'2602월'!$AV:$AW,'2602월'!$AZ:$BD</definedName>
    <definedName name="Z_611C8E2F_3E2A_4A2A_9E9E_AAFA15EA9C86_.wvu.Cols" localSheetId="2" hidden="1">'2603월'!$F:$F,'2603월'!$H:$O,'2603월'!$T:$T,'2603월'!$V:$AC,'2603월'!$AH:$AO,'2603월'!$AV:$AW,'2603월'!$AZ:$BE</definedName>
    <definedName name="Z_611C8E2F_3E2A_4A2A_9E9E_AAFA15EA9C86_.wvu.Cols" localSheetId="3" hidden="1">'2604월'!$F:$F,'2604월'!$H:$O,'2604월'!$T:$T,'2604월'!$V:$AC,'2604월'!$AH:$AO,'2604월'!$AV:$AW,'2604월'!$AZ:$BE</definedName>
    <definedName name="Z_611C8E2F_3E2A_4A2A_9E9E_AAFA15EA9C86_.wvu.Cols" localSheetId="4" hidden="1">'2605월'!$F:$F,'2605월'!$H:$O,'2605월'!$T:$T,'2605월'!$V:$AC,'2605월'!$AH:$AO,'2605월'!$AV:$AW,'2605월'!$AZ:$BE</definedName>
    <definedName name="Z_611C8E2F_3E2A_4A2A_9E9E_AAFA15EA9C86_.wvu.Cols" localSheetId="5" hidden="1">'2606월'!$F:$F,'2606월'!$H:$O,'2606월'!$T:$T,'2606월'!$V:$AC,'2606월'!$AH:$AO,'2606월'!$AV:$AW,'2606월'!$AZ:$BE</definedName>
    <definedName name="Z_611C8E2F_3E2A_4A2A_9E9E_AAFA15EA9C86_.wvu.PrintArea" localSheetId="6" hidden="1">'2024년 전체'!$A$1:$BN$20</definedName>
    <definedName name="Z_611C8E2F_3E2A_4A2A_9E9E_AAFA15EA9C86_.wvu.PrintArea" localSheetId="7" hidden="1">'2025년 전체'!$A$1:$BN$20</definedName>
    <definedName name="Z_611C8E2F_3E2A_4A2A_9E9E_AAFA15EA9C86_.wvu.PrintArea" localSheetId="8" hidden="1">'2026년 전체'!$A$1:$AY$20</definedName>
    <definedName name="Z_611C8E2F_3E2A_4A2A_9E9E_AAFA15EA9C86_.wvu.PrintArea" localSheetId="0" hidden="1">'2601월'!$A$1:$AY$39</definedName>
    <definedName name="Z_611C8E2F_3E2A_4A2A_9E9E_AAFA15EA9C86_.wvu.PrintArea" localSheetId="1" hidden="1">'2602월'!$A$1:$AY$36</definedName>
    <definedName name="Z_611C8E2F_3E2A_4A2A_9E9E_AAFA15EA9C86_.wvu.PrintArea" localSheetId="2" hidden="1">'2603월'!$A$1:$AY$39</definedName>
    <definedName name="Z_611C8E2F_3E2A_4A2A_9E9E_AAFA15EA9C86_.wvu.PrintArea" localSheetId="3" hidden="1">'2604월'!$A$1:$AY$38</definedName>
    <definedName name="Z_611C8E2F_3E2A_4A2A_9E9E_AAFA15EA9C86_.wvu.PrintArea" localSheetId="4" hidden="1">'2605월'!$A$1:$AY$39</definedName>
    <definedName name="Z_611C8E2F_3E2A_4A2A_9E9E_AAFA15EA9C86_.wvu.PrintArea" localSheetId="5" hidden="1">'2606월'!$A$1:$AY$38</definedName>
    <definedName name="Z_62753A0F_4873_4A81_9F7D_AB09D6CE36E4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2753A0F_4873_4A81_9F7D_AB09D6CE36E4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2753A0F_4873_4A81_9F7D_AB09D6CE36E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2753A0F_4873_4A81_9F7D_AB09D6CE36E4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2753A0F_4873_4A81_9F7D_AB09D6CE36E4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2753A0F_4873_4A81_9F7D_AB09D6CE36E4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2753A0F_4873_4A81_9F7D_AB09D6CE36E4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2753A0F_4873_4A81_9F7D_AB09D6CE36E4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2753A0F_4873_4A81_9F7D_AB09D6CE36E4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2753A0F_4873_4A81_9F7D_AB09D6CE36E4_.wvu.PrintArea" localSheetId="6" hidden="1">'2024년 전체'!$A$1:$BN$20</definedName>
    <definedName name="Z_62753A0F_4873_4A81_9F7D_AB09D6CE36E4_.wvu.PrintArea" localSheetId="7" hidden="1">'2025년 전체'!$A$1:$BN$20</definedName>
    <definedName name="Z_62753A0F_4873_4A81_9F7D_AB09D6CE36E4_.wvu.PrintArea" localSheetId="8" hidden="1">'2026년 전체'!$A$1:$AY$20</definedName>
    <definedName name="Z_62753A0F_4873_4A81_9F7D_AB09D6CE36E4_.wvu.PrintArea" localSheetId="0" hidden="1">'2601월'!$A$1:$AY$39</definedName>
    <definedName name="Z_62753A0F_4873_4A81_9F7D_AB09D6CE36E4_.wvu.PrintArea" localSheetId="1" hidden="1">'2602월'!$A$1:$AY$36</definedName>
    <definedName name="Z_62753A0F_4873_4A81_9F7D_AB09D6CE36E4_.wvu.PrintArea" localSheetId="2" hidden="1">'2603월'!$A$1:$AY$39</definedName>
    <definedName name="Z_62753A0F_4873_4A81_9F7D_AB09D6CE36E4_.wvu.PrintArea" localSheetId="3" hidden="1">'2604월'!$A$1:$AY$38</definedName>
    <definedName name="Z_62753A0F_4873_4A81_9F7D_AB09D6CE36E4_.wvu.PrintArea" localSheetId="4" hidden="1">'2605월'!$A$1:$AY$39</definedName>
    <definedName name="Z_62753A0F_4873_4A81_9F7D_AB09D6CE36E4_.wvu.PrintArea" localSheetId="5" hidden="1">'2606월'!$A$1:$AY$38</definedName>
    <definedName name="Z_63303AFF_8C37_4ABB_8E95_C28B7CA9EDDA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3303AFF_8C37_4ABB_8E95_C28B7CA9EDDA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3303AFF_8C37_4ABB_8E95_C28B7CA9EDDA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3303AFF_8C37_4ABB_8E95_C28B7CA9EDDA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3303AFF_8C37_4ABB_8E95_C28B7CA9EDDA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3303AFF_8C37_4ABB_8E95_C28B7CA9EDDA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3303AFF_8C37_4ABB_8E95_C28B7CA9EDDA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3303AFF_8C37_4ABB_8E95_C28B7CA9EDDA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3303AFF_8C37_4ABB_8E95_C28B7CA9EDDA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3303AFF_8C37_4ABB_8E95_C28B7CA9EDDA_.wvu.PrintArea" localSheetId="6" hidden="1">'2024년 전체'!$A$1:$BR$20</definedName>
    <definedName name="Z_63303AFF_8C37_4ABB_8E95_C28B7CA9EDDA_.wvu.PrintArea" localSheetId="7" hidden="1">'2025년 전체'!$A$1:$BR$20</definedName>
    <definedName name="Z_63303AFF_8C37_4ABB_8E95_C28B7CA9EDDA_.wvu.PrintArea" localSheetId="8" hidden="1">'2026년 전체'!$A$1:$BC$20</definedName>
    <definedName name="Z_63303AFF_8C37_4ABB_8E95_C28B7CA9EDDA_.wvu.PrintArea" localSheetId="0" hidden="1">'2601월'!$A$1:$BC$39</definedName>
    <definedName name="Z_63303AFF_8C37_4ABB_8E95_C28B7CA9EDDA_.wvu.PrintArea" localSheetId="1" hidden="1">'2602월'!$A$1:$BC$36</definedName>
    <definedName name="Z_63303AFF_8C37_4ABB_8E95_C28B7CA9EDDA_.wvu.PrintArea" localSheetId="2" hidden="1">'2603월'!$A$1:$BC$39</definedName>
    <definedName name="Z_63303AFF_8C37_4ABB_8E95_C28B7CA9EDDA_.wvu.PrintArea" localSheetId="3" hidden="1">'2604월'!$A$1:$BC$38</definedName>
    <definedName name="Z_63303AFF_8C37_4ABB_8E95_C28B7CA9EDDA_.wvu.PrintArea" localSheetId="4" hidden="1">'2605월'!$A$1:$BC$39</definedName>
    <definedName name="Z_63303AFF_8C37_4ABB_8E95_C28B7CA9EDDA_.wvu.PrintArea" localSheetId="5" hidden="1">'2606월'!$A$1:$BC$38</definedName>
    <definedName name="Z_6337C221_21D5_439A_807B_AD31D1072566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6337C221_21D5_439A_807B_AD31D1072566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6337C221_21D5_439A_807B_AD31D1072566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6337C221_21D5_439A_807B_AD31D1072566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6337C221_21D5_439A_807B_AD31D1072566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6337C221_21D5_439A_807B_AD31D1072566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6337C221_21D5_439A_807B_AD31D1072566_.wvu.PrintArea" localSheetId="6" hidden="1">'2024년 전체'!$A$1:$BN$20</definedName>
    <definedName name="Z_6337C221_21D5_439A_807B_AD31D1072566_.wvu.PrintArea" localSheetId="7" hidden="1">'2025년 전체'!$A$1:$BN$20</definedName>
    <definedName name="Z_6337C221_21D5_439A_807B_AD31D1072566_.wvu.PrintArea" localSheetId="8" hidden="1">'2026년 전체'!$A$1:$AY$20</definedName>
    <definedName name="Z_6337C221_21D5_439A_807B_AD31D1072566_.wvu.PrintArea" localSheetId="0" hidden="1">'2601월'!$A$1:$AY$39</definedName>
    <definedName name="Z_6337C221_21D5_439A_807B_AD31D1072566_.wvu.PrintArea" localSheetId="1" hidden="1">'2602월'!$A$1:$AY$36</definedName>
    <definedName name="Z_6337C221_21D5_439A_807B_AD31D1072566_.wvu.PrintArea" localSheetId="2" hidden="1">'2603월'!$A$1:$AY$39</definedName>
    <definedName name="Z_6337C221_21D5_439A_807B_AD31D1072566_.wvu.PrintArea" localSheetId="3" hidden="1">'2604월'!$A$1:$AY$38</definedName>
    <definedName name="Z_6337C221_21D5_439A_807B_AD31D1072566_.wvu.PrintArea" localSheetId="4" hidden="1">'2605월'!$A$1:$AY$39</definedName>
    <definedName name="Z_6337C221_21D5_439A_807B_AD31D1072566_.wvu.PrintArea" localSheetId="5" hidden="1">'2606월'!$A$1:$AY$38</definedName>
    <definedName name="Z_63DFB4E7_D4CC_4CC6_BFA3_181FE68B3240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63DFB4E7_D4CC_4CC6_BFA3_181FE68B3240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63DFB4E7_D4CC_4CC6_BFA3_181FE68B3240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63DFB4E7_D4CC_4CC6_BFA3_181FE68B3240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63DFB4E7_D4CC_4CC6_BFA3_181FE68B3240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63DFB4E7_D4CC_4CC6_BFA3_181FE68B3240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63DFB4E7_D4CC_4CC6_BFA3_181FE68B3240_.wvu.PrintArea" localSheetId="6" hidden="1">'2024년 전체'!$A$1:$BN$20</definedName>
    <definedName name="Z_63DFB4E7_D4CC_4CC6_BFA3_181FE68B3240_.wvu.PrintArea" localSheetId="7" hidden="1">'2025년 전체'!$A$1:$BN$20</definedName>
    <definedName name="Z_63DFB4E7_D4CC_4CC6_BFA3_181FE68B3240_.wvu.PrintArea" localSheetId="8" hidden="1">'2026년 전체'!$A$1:$AY$20</definedName>
    <definedName name="Z_63DFB4E7_D4CC_4CC6_BFA3_181FE68B3240_.wvu.PrintArea" localSheetId="0" hidden="1">'2601월'!$A$1:$AY$39</definedName>
    <definedName name="Z_63DFB4E7_D4CC_4CC6_BFA3_181FE68B3240_.wvu.PrintArea" localSheetId="1" hidden="1">'2602월'!$A$1:$AY$36</definedName>
    <definedName name="Z_63DFB4E7_D4CC_4CC6_BFA3_181FE68B3240_.wvu.PrintArea" localSheetId="2" hidden="1">'2603월'!$A$1:$AY$39</definedName>
    <definedName name="Z_63DFB4E7_D4CC_4CC6_BFA3_181FE68B3240_.wvu.PrintArea" localSheetId="3" hidden="1">'2604월'!$A$1:$AY$38</definedName>
    <definedName name="Z_63DFB4E7_D4CC_4CC6_BFA3_181FE68B3240_.wvu.PrintArea" localSheetId="4" hidden="1">'2605월'!$A$1:$AY$39</definedName>
    <definedName name="Z_63DFB4E7_D4CC_4CC6_BFA3_181FE68B3240_.wvu.PrintArea" localSheetId="5" hidden="1">'2606월'!$A$1:$AY$38</definedName>
    <definedName name="Z_64499763_146E_4ABB_994A_603E6A8A9BD7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64499763_146E_4ABB_994A_603E6A8A9BD7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64499763_146E_4ABB_994A_603E6A8A9BD7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64499763_146E_4ABB_994A_603E6A8A9BD7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64499763_146E_4ABB_994A_603E6A8A9BD7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64499763_146E_4ABB_994A_603E6A8A9BD7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64499763_146E_4ABB_994A_603E6A8A9BD7_.wvu.PrintArea" localSheetId="6" hidden="1">'2024년 전체'!$A$1:$BN$20</definedName>
    <definedName name="Z_64499763_146E_4ABB_994A_603E6A8A9BD7_.wvu.PrintArea" localSheetId="7" hidden="1">'2025년 전체'!$A$1:$BN$20</definedName>
    <definedName name="Z_64499763_146E_4ABB_994A_603E6A8A9BD7_.wvu.PrintArea" localSheetId="8" hidden="1">'2026년 전체'!$A$1:$AY$20</definedName>
    <definedName name="Z_64499763_146E_4ABB_994A_603E6A8A9BD7_.wvu.PrintArea" localSheetId="0" hidden="1">'2601월'!$A$1:$AY$39</definedName>
    <definedName name="Z_64499763_146E_4ABB_994A_603E6A8A9BD7_.wvu.PrintArea" localSheetId="1" hidden="1">'2602월'!$A$1:$AY$36</definedName>
    <definedName name="Z_64499763_146E_4ABB_994A_603E6A8A9BD7_.wvu.PrintArea" localSheetId="2" hidden="1">'2603월'!$A$1:$AY$39</definedName>
    <definedName name="Z_64499763_146E_4ABB_994A_603E6A8A9BD7_.wvu.PrintArea" localSheetId="3" hidden="1">'2604월'!$A$1:$AY$38</definedName>
    <definedName name="Z_64499763_146E_4ABB_994A_603E6A8A9BD7_.wvu.PrintArea" localSheetId="4" hidden="1">'2605월'!$A$1:$AY$39</definedName>
    <definedName name="Z_64499763_146E_4ABB_994A_603E6A8A9BD7_.wvu.PrintArea" localSheetId="5" hidden="1">'2606월'!$A$1:$AY$38</definedName>
    <definedName name="Z_64834ADF_0875_4020_A7F1_ADBC76B2C34A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64834ADF_0875_4020_A7F1_ADBC76B2C34A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64834ADF_0875_4020_A7F1_ADBC76B2C34A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64834ADF_0875_4020_A7F1_ADBC76B2C34A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64834ADF_0875_4020_A7F1_ADBC76B2C34A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64834ADF_0875_4020_A7F1_ADBC76B2C34A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64834ADF_0875_4020_A7F1_ADBC76B2C34A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64834ADF_0875_4020_A7F1_ADBC76B2C34A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64834ADF_0875_4020_A7F1_ADBC76B2C34A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64834ADF_0875_4020_A7F1_ADBC76B2C34A_.wvu.PrintArea" localSheetId="6" hidden="1">'2024년 전체'!$A$1:$BN$20</definedName>
    <definedName name="Z_64834ADF_0875_4020_A7F1_ADBC76B2C34A_.wvu.PrintArea" localSheetId="7" hidden="1">'2025년 전체'!$A$1:$BN$20</definedName>
    <definedName name="Z_64834ADF_0875_4020_A7F1_ADBC76B2C34A_.wvu.PrintArea" localSheetId="8" hidden="1">'2026년 전체'!$A$1:$AY$20</definedName>
    <definedName name="Z_64834ADF_0875_4020_A7F1_ADBC76B2C34A_.wvu.PrintArea" localSheetId="0" hidden="1">'2601월'!$A$1:$AY$39</definedName>
    <definedName name="Z_64834ADF_0875_4020_A7F1_ADBC76B2C34A_.wvu.PrintArea" localSheetId="1" hidden="1">'2602월'!$A$1:$AY$36</definedName>
    <definedName name="Z_64834ADF_0875_4020_A7F1_ADBC76B2C34A_.wvu.PrintArea" localSheetId="2" hidden="1">'2603월'!$A$1:$AY$39</definedName>
    <definedName name="Z_64834ADF_0875_4020_A7F1_ADBC76B2C34A_.wvu.PrintArea" localSheetId="3" hidden="1">'2604월'!$A$1:$AY$38</definedName>
    <definedName name="Z_64834ADF_0875_4020_A7F1_ADBC76B2C34A_.wvu.PrintArea" localSheetId="4" hidden="1">'2605월'!$A$1:$AY$39</definedName>
    <definedName name="Z_64834ADF_0875_4020_A7F1_ADBC76B2C34A_.wvu.PrintArea" localSheetId="5" hidden="1">'2606월'!$A$1:$AY$38</definedName>
    <definedName name="Z_65C98704_292B_4166_9DF0_FE19E3AF510E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5C98704_292B_4166_9DF0_FE19E3AF510E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5C98704_292B_4166_9DF0_FE19E3AF510E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5C98704_292B_4166_9DF0_FE19E3AF510E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5C98704_292B_4166_9DF0_FE19E3AF510E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5C98704_292B_4166_9DF0_FE19E3AF510E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5C98704_292B_4166_9DF0_FE19E3AF510E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5C98704_292B_4166_9DF0_FE19E3AF510E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5C98704_292B_4166_9DF0_FE19E3AF510E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5C98704_292B_4166_9DF0_FE19E3AF510E_.wvu.PrintArea" localSheetId="6" hidden="1">'2024년 전체'!$A$1:$BN$20</definedName>
    <definedName name="Z_65C98704_292B_4166_9DF0_FE19E3AF510E_.wvu.PrintArea" localSheetId="7" hidden="1">'2025년 전체'!$A$1:$BN$20</definedName>
    <definedName name="Z_65C98704_292B_4166_9DF0_FE19E3AF510E_.wvu.PrintArea" localSheetId="8" hidden="1">'2026년 전체'!$A$1:$AY$20</definedName>
    <definedName name="Z_65C98704_292B_4166_9DF0_FE19E3AF510E_.wvu.PrintArea" localSheetId="0" hidden="1">'2601월'!$A$1:$AY$39</definedName>
    <definedName name="Z_65C98704_292B_4166_9DF0_FE19E3AF510E_.wvu.PrintArea" localSheetId="1" hidden="1">'2602월'!$A$1:$AY$36</definedName>
    <definedName name="Z_65C98704_292B_4166_9DF0_FE19E3AF510E_.wvu.PrintArea" localSheetId="2" hidden="1">'2603월'!$A$1:$AY$39</definedName>
    <definedName name="Z_65C98704_292B_4166_9DF0_FE19E3AF510E_.wvu.PrintArea" localSheetId="3" hidden="1">'2604월'!$A$1:$AY$38</definedName>
    <definedName name="Z_65C98704_292B_4166_9DF0_FE19E3AF510E_.wvu.PrintArea" localSheetId="4" hidden="1">'2605월'!$A$1:$AY$39</definedName>
    <definedName name="Z_65C98704_292B_4166_9DF0_FE19E3AF510E_.wvu.PrintArea" localSheetId="5" hidden="1">'2606월'!$A$1:$AY$38</definedName>
    <definedName name="Z_65D5CA40_D33C_4E19_991F_FBB38CBF0E7E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5D5CA40_D33C_4E19_991F_FBB38CBF0E7E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5D5CA40_D33C_4E19_991F_FBB38CBF0E7E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5D5CA40_D33C_4E19_991F_FBB38CBF0E7E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5D5CA40_D33C_4E19_991F_FBB38CBF0E7E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5D5CA40_D33C_4E19_991F_FBB38CBF0E7E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5D5CA40_D33C_4E19_991F_FBB38CBF0E7E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5D5CA40_D33C_4E19_991F_FBB38CBF0E7E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5D5CA40_D33C_4E19_991F_FBB38CBF0E7E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5D5CA40_D33C_4E19_991F_FBB38CBF0E7E_.wvu.PrintArea" localSheetId="6" hidden="1">'2024년 전체'!$A$1:$BR$20</definedName>
    <definedName name="Z_65D5CA40_D33C_4E19_991F_FBB38CBF0E7E_.wvu.PrintArea" localSheetId="7" hidden="1">'2025년 전체'!$A$1:$BR$20</definedName>
    <definedName name="Z_65D5CA40_D33C_4E19_991F_FBB38CBF0E7E_.wvu.PrintArea" localSheetId="8" hidden="1">'2026년 전체'!$A$1:$BC$20</definedName>
    <definedName name="Z_65D5CA40_D33C_4E19_991F_FBB38CBF0E7E_.wvu.PrintArea" localSheetId="0" hidden="1">'2601월'!$A$1:$BC$39</definedName>
    <definedName name="Z_65D5CA40_D33C_4E19_991F_FBB38CBF0E7E_.wvu.PrintArea" localSheetId="1" hidden="1">'2602월'!$A$1:$BC$36</definedName>
    <definedName name="Z_65D5CA40_D33C_4E19_991F_FBB38CBF0E7E_.wvu.PrintArea" localSheetId="2" hidden="1">'2603월'!$A$1:$BC$39</definedName>
    <definedName name="Z_65D5CA40_D33C_4E19_991F_FBB38CBF0E7E_.wvu.PrintArea" localSheetId="3" hidden="1">'2604월'!$A$1:$BC$38</definedName>
    <definedName name="Z_65D5CA40_D33C_4E19_991F_FBB38CBF0E7E_.wvu.PrintArea" localSheetId="4" hidden="1">'2605월'!$A$1:$BC$39</definedName>
    <definedName name="Z_65D5CA40_D33C_4E19_991F_FBB38CBF0E7E_.wvu.PrintArea" localSheetId="5" hidden="1">'2606월'!$A$1:$BC$38</definedName>
    <definedName name="Z_69F7DE12_2E2D_4694_855F_67A948D86CDA_.wvu.PrintArea" localSheetId="6" hidden="1">'2024년 전체'!$A$1:$BN$20</definedName>
    <definedName name="Z_69F7DE12_2E2D_4694_855F_67A948D86CDA_.wvu.PrintArea" localSheetId="7" hidden="1">'2025년 전체'!$A$1:$BN$20</definedName>
    <definedName name="Z_69F7DE12_2E2D_4694_855F_67A948D86CDA_.wvu.PrintArea" localSheetId="8" hidden="1">'2026년 전체'!$A$1:$AY$20</definedName>
    <definedName name="Z_6A4627E6_A54B_4418_90F4_3C2A7E67FF0A_.wvu.PrintArea" localSheetId="6" hidden="1">'2024년 전체'!$A$1:$BN$20</definedName>
    <definedName name="Z_6A4627E6_A54B_4418_90F4_3C2A7E67FF0A_.wvu.PrintArea" localSheetId="7" hidden="1">'2025년 전체'!$A$1:$BN$20</definedName>
    <definedName name="Z_6A4627E6_A54B_4418_90F4_3C2A7E67FF0A_.wvu.PrintArea" localSheetId="8" hidden="1">'2026년 전체'!$A$1:$AY$20</definedName>
    <definedName name="Z_6B4D8EB3_610B_4966_8893_D3C0623999D7_.wvu.PrintArea" localSheetId="6" hidden="1">'2024년 전체'!$A$1:$BN$20</definedName>
    <definedName name="Z_6B4D8EB3_610B_4966_8893_D3C0623999D7_.wvu.PrintArea" localSheetId="7" hidden="1">'2025년 전체'!$A$1:$BN$20</definedName>
    <definedName name="Z_6B4D8EB3_610B_4966_8893_D3C0623999D7_.wvu.PrintArea" localSheetId="8" hidden="1">'2026년 전체'!$A$1:$AY$20</definedName>
    <definedName name="Z_6B4D8EB3_610B_4966_8893_D3C0623999D7_.wvu.PrintArea" localSheetId="0" hidden="1">'2601월'!$A$1:$AY$39</definedName>
    <definedName name="Z_6B4D8EB3_610B_4966_8893_D3C0623999D7_.wvu.PrintArea" localSheetId="1" hidden="1">'2602월'!$A$1:$AY$36</definedName>
    <definedName name="Z_6B4D8EB3_610B_4966_8893_D3C0623999D7_.wvu.PrintArea" localSheetId="2" hidden="1">'2603월'!$A$1:$AY$39</definedName>
    <definedName name="Z_6B4D8EB3_610B_4966_8893_D3C0623999D7_.wvu.PrintArea" localSheetId="3" hidden="1">'2604월'!$A$1:$AY$38</definedName>
    <definedName name="Z_6B4D8EB3_610B_4966_8893_D3C0623999D7_.wvu.PrintArea" localSheetId="4" hidden="1">'2605월'!$A$1:$AY$39</definedName>
    <definedName name="Z_6B4D8EB3_610B_4966_8893_D3C0623999D7_.wvu.PrintArea" localSheetId="5" hidden="1">'2606월'!$A$1:$AY$38</definedName>
    <definedName name="Z_6CD95356_1612_4505_AF8D_4FBCDF47FDB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CD95356_1612_4505_AF8D_4FBCDF47FDB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CD95356_1612_4505_AF8D_4FBCDF47FDB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CD95356_1612_4505_AF8D_4FBCDF47FDB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CD95356_1612_4505_AF8D_4FBCDF47FDB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CD95356_1612_4505_AF8D_4FBCDF47FDB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CD95356_1612_4505_AF8D_4FBCDF47FDB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CD95356_1612_4505_AF8D_4FBCDF47FDB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CD95356_1612_4505_AF8D_4FBCDF47FDB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CD95356_1612_4505_AF8D_4FBCDF47FDB6_.wvu.PrintArea" localSheetId="6" hidden="1">'2024년 전체'!$A$1:$BN$20</definedName>
    <definedName name="Z_6CD95356_1612_4505_AF8D_4FBCDF47FDB6_.wvu.PrintArea" localSheetId="7" hidden="1">'2025년 전체'!$A$1:$BN$20</definedName>
    <definedName name="Z_6CD95356_1612_4505_AF8D_4FBCDF47FDB6_.wvu.PrintArea" localSheetId="8" hidden="1">'2026년 전체'!$A$1:$AY$20</definedName>
    <definedName name="Z_6CD95356_1612_4505_AF8D_4FBCDF47FDB6_.wvu.PrintArea" localSheetId="0" hidden="1">'2601월'!$A$1:$AY$39</definedName>
    <definedName name="Z_6CD95356_1612_4505_AF8D_4FBCDF47FDB6_.wvu.PrintArea" localSheetId="1" hidden="1">'2602월'!$A$1:$AY$36</definedName>
    <definedName name="Z_6CD95356_1612_4505_AF8D_4FBCDF47FDB6_.wvu.PrintArea" localSheetId="2" hidden="1">'2603월'!$A$1:$AY$39</definedName>
    <definedName name="Z_6CD95356_1612_4505_AF8D_4FBCDF47FDB6_.wvu.PrintArea" localSheetId="3" hidden="1">'2604월'!$A$1:$AY$38</definedName>
    <definedName name="Z_6CD95356_1612_4505_AF8D_4FBCDF47FDB6_.wvu.PrintArea" localSheetId="4" hidden="1">'2605월'!$A$1:$AY$39</definedName>
    <definedName name="Z_6CD95356_1612_4505_AF8D_4FBCDF47FDB6_.wvu.PrintArea" localSheetId="5" hidden="1">'2606월'!$A$1:$AY$38</definedName>
    <definedName name="Z_6CFC6D89_5444_408C_B344_BE0EE6C6ABD0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</definedName>
    <definedName name="Z_6CFC6D89_5444_408C_B344_BE0EE6C6ABD0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</definedName>
    <definedName name="Z_6CFC6D89_5444_408C_B344_BE0EE6C6ABD0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CFC6D89_5444_408C_B344_BE0EE6C6ABD0_.wvu.PrintArea" localSheetId="6" hidden="1">'2024년 전체'!$A$1:$BN$20</definedName>
    <definedName name="Z_6CFC6D89_5444_408C_B344_BE0EE6C6ABD0_.wvu.PrintArea" localSheetId="7" hidden="1">'2025년 전체'!$A$1:$BN$20</definedName>
    <definedName name="Z_6CFC6D89_5444_408C_B344_BE0EE6C6ABD0_.wvu.PrintArea" localSheetId="8" hidden="1">'2026년 전체'!$A$1:$AY$20</definedName>
    <definedName name="Z_6CFC6D89_5444_408C_B344_BE0EE6C6ABD0_.wvu.PrintArea" localSheetId="0" hidden="1">'2601월'!$A$1:$AY$39</definedName>
    <definedName name="Z_6CFC6D89_5444_408C_B344_BE0EE6C6ABD0_.wvu.PrintArea" localSheetId="1" hidden="1">'2602월'!$A$1:$AY$36</definedName>
    <definedName name="Z_6CFC6D89_5444_408C_B344_BE0EE6C6ABD0_.wvu.PrintArea" localSheetId="2" hidden="1">'2603월'!$A$1:$AY$39</definedName>
    <definedName name="Z_6CFC6D89_5444_408C_B344_BE0EE6C6ABD0_.wvu.PrintArea" localSheetId="3" hidden="1">'2604월'!$A$1:$AY$38</definedName>
    <definedName name="Z_6CFC6D89_5444_408C_B344_BE0EE6C6ABD0_.wvu.PrintArea" localSheetId="4" hidden="1">'2605월'!$A$1:$AY$39</definedName>
    <definedName name="Z_6CFC6D89_5444_408C_B344_BE0EE6C6ABD0_.wvu.PrintArea" localSheetId="5" hidden="1">'2606월'!$A$1:$AY$38</definedName>
    <definedName name="Z_6D06544A_9B3E_414F_A2A7_A1544A926503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D06544A_9B3E_414F_A2A7_A1544A926503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D06544A_9B3E_414F_A2A7_A1544A926503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D06544A_9B3E_414F_A2A7_A1544A926503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D06544A_9B3E_414F_A2A7_A1544A926503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D06544A_9B3E_414F_A2A7_A1544A926503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D06544A_9B3E_414F_A2A7_A1544A926503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D06544A_9B3E_414F_A2A7_A1544A926503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D06544A_9B3E_414F_A2A7_A1544A926503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D06544A_9B3E_414F_A2A7_A1544A926503_.wvu.PrintArea" localSheetId="6" hidden="1">'2024년 전체'!$A$1:$BN$20</definedName>
    <definedName name="Z_6D06544A_9B3E_414F_A2A7_A1544A926503_.wvu.PrintArea" localSheetId="7" hidden="1">'2025년 전체'!$A$1:$BN$20</definedName>
    <definedName name="Z_6D06544A_9B3E_414F_A2A7_A1544A926503_.wvu.PrintArea" localSheetId="8" hidden="1">'2026년 전체'!$A$1:$AY$20</definedName>
    <definedName name="Z_6D06544A_9B3E_414F_A2A7_A1544A926503_.wvu.PrintArea" localSheetId="0" hidden="1">'2601월'!$A$1:$AY$39</definedName>
    <definedName name="Z_6D06544A_9B3E_414F_A2A7_A1544A926503_.wvu.PrintArea" localSheetId="1" hidden="1">'2602월'!$A$1:$AY$36</definedName>
    <definedName name="Z_6D06544A_9B3E_414F_A2A7_A1544A926503_.wvu.PrintArea" localSheetId="2" hidden="1">'2603월'!$A$1:$AY$39</definedName>
    <definedName name="Z_6D06544A_9B3E_414F_A2A7_A1544A926503_.wvu.PrintArea" localSheetId="3" hidden="1">'2604월'!$A$1:$AY$38</definedName>
    <definedName name="Z_6D06544A_9B3E_414F_A2A7_A1544A926503_.wvu.PrintArea" localSheetId="4" hidden="1">'2605월'!$A$1:$AY$39</definedName>
    <definedName name="Z_6D06544A_9B3E_414F_A2A7_A1544A926503_.wvu.PrintArea" localSheetId="5" hidden="1">'2606월'!$A$1:$AY$38</definedName>
    <definedName name="Z_6D493F6C_7603_49EB_AC9B_B9950AA3D37D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6D493F6C_7603_49EB_AC9B_B9950AA3D37D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6D493F6C_7603_49EB_AC9B_B9950AA3D37D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6D493F6C_7603_49EB_AC9B_B9950AA3D37D_.wvu.Cols" localSheetId="0" hidden="1">'2601월'!$C:$C,'2601월'!$F:$F,'2601월'!$L:$O,'2601월'!$Q:$Q,'2601월'!$T:$T,'2601월'!$V:$AC,'2601월'!#REF!,'2601월'!#REF!,'2601월'!$AE:$AE,'2601월'!$AL:$AO,'2601월'!$AQ:$AQ</definedName>
    <definedName name="Z_6D493F6C_7603_49EB_AC9B_B9950AA3D37D_.wvu.Cols" localSheetId="1" hidden="1">'2602월'!$C:$C,'2602월'!$F:$F,'2602월'!$L:$O,'2602월'!$Q:$Q,'2602월'!$T:$T,'2602월'!$V:$AC,'2602월'!#REF!,'2602월'!#REF!,'2602월'!$AE:$AE,'2602월'!$AL:$AO,'2602월'!$AQ:$AQ</definedName>
    <definedName name="Z_6D493F6C_7603_49EB_AC9B_B9950AA3D37D_.wvu.Cols" localSheetId="2" hidden="1">'2603월'!$C:$C,'2603월'!$F:$F,'2603월'!$L:$O,'2603월'!$Q:$Q,'2603월'!$T:$T,'2603월'!$V:$AC,'2603월'!#REF!,'2603월'!#REF!,'2603월'!$AE:$AE,'2603월'!$AL:$AO,'2603월'!$AQ:$AQ</definedName>
    <definedName name="Z_6D493F6C_7603_49EB_AC9B_B9950AA3D37D_.wvu.Cols" localSheetId="3" hidden="1">'2604월'!$C:$C,'2604월'!$F:$F,'2604월'!$L:$O,'2604월'!$Q:$Q,'2604월'!$T:$T,'2604월'!$V:$AC,'2604월'!#REF!,'2604월'!#REF!,'2604월'!$AE:$AE,'2604월'!$AL:$AO,'2604월'!$AQ:$AQ</definedName>
    <definedName name="Z_6D493F6C_7603_49EB_AC9B_B9950AA3D37D_.wvu.Cols" localSheetId="4" hidden="1">'2605월'!$C:$C,'2605월'!$F:$F,'2605월'!$L:$O,'2605월'!$Q:$Q,'2605월'!$T:$T,'2605월'!$V:$AC,'2605월'!#REF!,'2605월'!#REF!,'2605월'!$AE:$AE,'2605월'!$AL:$AO,'2605월'!$AQ:$AQ</definedName>
    <definedName name="Z_6D493F6C_7603_49EB_AC9B_B9950AA3D37D_.wvu.Cols" localSheetId="5" hidden="1">'2606월'!$C:$C,'2606월'!$F:$F,'2606월'!$L:$O,'2606월'!$Q:$Q,'2606월'!$T:$T,'2606월'!$V:$AC,'2606월'!#REF!,'2606월'!#REF!,'2606월'!$AE:$AE,'2606월'!$AL:$AO,'2606월'!$AQ:$AQ</definedName>
    <definedName name="Z_6D493F6C_7603_49EB_AC9B_B9950AA3D37D_.wvu.PrintArea" localSheetId="6" hidden="1">'2024년 전체'!$A$1:$BR$20</definedName>
    <definedName name="Z_6D493F6C_7603_49EB_AC9B_B9950AA3D37D_.wvu.PrintArea" localSheetId="7" hidden="1">'2025년 전체'!$A$1:$BR$20</definedName>
    <definedName name="Z_6D493F6C_7603_49EB_AC9B_B9950AA3D37D_.wvu.PrintArea" localSheetId="8" hidden="1">'2026년 전체'!$A$1:$BC$20</definedName>
    <definedName name="Z_6D493F6C_7603_49EB_AC9B_B9950AA3D37D_.wvu.PrintArea" localSheetId="0" hidden="1">'2601월'!$A$1:$BC$39</definedName>
    <definedName name="Z_6D493F6C_7603_49EB_AC9B_B9950AA3D37D_.wvu.PrintArea" localSheetId="1" hidden="1">'2602월'!$A$1:$BC$36</definedName>
    <definedName name="Z_6D493F6C_7603_49EB_AC9B_B9950AA3D37D_.wvu.PrintArea" localSheetId="2" hidden="1">'2603월'!$A$1:$BC$39</definedName>
    <definedName name="Z_6D493F6C_7603_49EB_AC9B_B9950AA3D37D_.wvu.PrintArea" localSheetId="3" hidden="1">'2604월'!$A$1:$BC$38</definedName>
    <definedName name="Z_6D493F6C_7603_49EB_AC9B_B9950AA3D37D_.wvu.PrintArea" localSheetId="4" hidden="1">'2605월'!$A$1:$BC$39</definedName>
    <definedName name="Z_6D493F6C_7603_49EB_AC9B_B9950AA3D37D_.wvu.PrintArea" localSheetId="5" hidden="1">'2606월'!$A$1:$BC$38</definedName>
    <definedName name="Z_6D5BF6B7_C0E4_4231_814C_483ADBBBAC5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6D5BF6B7_C0E4_4231_814C_483ADBBBAC5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6D5BF6B7_C0E4_4231_814C_483ADBBBAC5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6D5BF6B7_C0E4_4231_814C_483ADBBBAC5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6D5BF6B7_C0E4_4231_814C_483ADBBBAC5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6D5BF6B7_C0E4_4231_814C_483ADBBBAC5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6D5BF6B7_C0E4_4231_814C_483ADBBBAC5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6D5BF6B7_C0E4_4231_814C_483ADBBBAC5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6D5BF6B7_C0E4_4231_814C_483ADBBBAC5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6D5BF6B7_C0E4_4231_814C_483ADBBBAC56_.wvu.PrintArea" localSheetId="6" hidden="1">'2024년 전체'!$A$1:$BN$20</definedName>
    <definedName name="Z_6D5BF6B7_C0E4_4231_814C_483ADBBBAC56_.wvu.PrintArea" localSheetId="7" hidden="1">'2025년 전체'!$A$1:$BN$20</definedName>
    <definedName name="Z_6D5BF6B7_C0E4_4231_814C_483ADBBBAC56_.wvu.PrintArea" localSheetId="8" hidden="1">'2026년 전체'!$A$1:$AY$20</definedName>
    <definedName name="Z_6D5BF6B7_C0E4_4231_814C_483ADBBBAC56_.wvu.PrintArea" localSheetId="0" hidden="1">'2601월'!$A$1:$AY$39</definedName>
    <definedName name="Z_6D5BF6B7_C0E4_4231_814C_483ADBBBAC56_.wvu.PrintArea" localSheetId="1" hidden="1">'2602월'!$A$1:$AY$36</definedName>
    <definedName name="Z_6D5BF6B7_C0E4_4231_814C_483ADBBBAC56_.wvu.PrintArea" localSheetId="2" hidden="1">'2603월'!$A$1:$AY$39</definedName>
    <definedName name="Z_6D5BF6B7_C0E4_4231_814C_483ADBBBAC56_.wvu.PrintArea" localSheetId="3" hidden="1">'2604월'!$A$1:$AY$38</definedName>
    <definedName name="Z_6D5BF6B7_C0E4_4231_814C_483ADBBBAC56_.wvu.PrintArea" localSheetId="4" hidden="1">'2605월'!$A$1:$AY$39</definedName>
    <definedName name="Z_6D5BF6B7_C0E4_4231_814C_483ADBBBAC56_.wvu.PrintArea" localSheetId="5" hidden="1">'2606월'!$A$1:$AY$38</definedName>
    <definedName name="Z_72677669_1B09_407C_AFA8_63FD0270777F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72677669_1B09_407C_AFA8_63FD0270777F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72677669_1B09_407C_AFA8_63FD0270777F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72677669_1B09_407C_AFA8_63FD0270777F_.wvu.Cols" localSheetId="0" hidden="1">'2601월'!$C:$C,'2601월'!$F:$F,'2601월'!$L:$O,'2601월'!$Q:$Q,'2601월'!$T:$T,'2601월'!$V:$AC,'2601월'!#REF!,'2601월'!#REF!,'2601월'!$AE:$AE,'2601월'!$AL:$AO,'2601월'!$AQ:$AQ</definedName>
    <definedName name="Z_72677669_1B09_407C_AFA8_63FD0270777F_.wvu.Cols" localSheetId="1" hidden="1">'2602월'!$C:$C,'2602월'!$F:$F,'2602월'!$L:$O,'2602월'!$Q:$Q,'2602월'!$T:$T,'2602월'!$V:$AC,'2602월'!#REF!,'2602월'!#REF!,'2602월'!$AE:$AE,'2602월'!$AL:$AO,'2602월'!$AQ:$AQ</definedName>
    <definedName name="Z_72677669_1B09_407C_AFA8_63FD0270777F_.wvu.Cols" localSheetId="2" hidden="1">'2603월'!$C:$C,'2603월'!$F:$F,'2603월'!$L:$O,'2603월'!$Q:$Q,'2603월'!$T:$T,'2603월'!$V:$AC,'2603월'!#REF!,'2603월'!#REF!,'2603월'!$AE:$AE,'2603월'!$AL:$AO,'2603월'!$AQ:$AQ</definedName>
    <definedName name="Z_72677669_1B09_407C_AFA8_63FD0270777F_.wvu.Cols" localSheetId="3" hidden="1">'2604월'!$C:$C,'2604월'!$F:$F,'2604월'!$L:$O,'2604월'!$Q:$Q,'2604월'!$T:$T,'2604월'!$V:$AC,'2604월'!#REF!,'2604월'!#REF!,'2604월'!$AE:$AE,'2604월'!$AL:$AO,'2604월'!$AQ:$AQ</definedName>
    <definedName name="Z_72677669_1B09_407C_AFA8_63FD0270777F_.wvu.Cols" localSheetId="4" hidden="1">'2605월'!$C:$C,'2605월'!$F:$F,'2605월'!$L:$O,'2605월'!$Q:$Q,'2605월'!$T:$T,'2605월'!$V:$AC,'2605월'!#REF!,'2605월'!#REF!,'2605월'!$AE:$AE,'2605월'!$AL:$AO,'2605월'!$AQ:$AQ</definedName>
    <definedName name="Z_72677669_1B09_407C_AFA8_63FD0270777F_.wvu.Cols" localSheetId="5" hidden="1">'2606월'!$C:$C,'2606월'!$F:$F,'2606월'!$L:$O,'2606월'!$Q:$Q,'2606월'!$T:$T,'2606월'!$V:$AC,'2606월'!#REF!,'2606월'!#REF!,'2606월'!$AE:$AE,'2606월'!$AL:$AO,'2606월'!$AQ:$AQ</definedName>
    <definedName name="Z_72677669_1B09_407C_AFA8_63FD0270777F_.wvu.PrintArea" localSheetId="6" hidden="1">'2024년 전체'!$A$1:$BR$20</definedName>
    <definedName name="Z_72677669_1B09_407C_AFA8_63FD0270777F_.wvu.PrintArea" localSheetId="7" hidden="1">'2025년 전체'!$A$1:$BR$20</definedName>
    <definedName name="Z_72677669_1B09_407C_AFA8_63FD0270777F_.wvu.PrintArea" localSheetId="8" hidden="1">'2026년 전체'!$A$1:$BC$20</definedName>
    <definedName name="Z_72677669_1B09_407C_AFA8_63FD0270777F_.wvu.PrintArea" localSheetId="0" hidden="1">'2601월'!$A$1:$BC$39</definedName>
    <definedName name="Z_72677669_1B09_407C_AFA8_63FD0270777F_.wvu.PrintArea" localSheetId="1" hidden="1">'2602월'!$A$1:$BC$36</definedName>
    <definedName name="Z_72677669_1B09_407C_AFA8_63FD0270777F_.wvu.PrintArea" localSheetId="2" hidden="1">'2603월'!$A$1:$BC$39</definedName>
    <definedName name="Z_72677669_1B09_407C_AFA8_63FD0270777F_.wvu.PrintArea" localSheetId="3" hidden="1">'2604월'!$A$1:$BC$38</definedName>
    <definedName name="Z_72677669_1B09_407C_AFA8_63FD0270777F_.wvu.PrintArea" localSheetId="4" hidden="1">'2605월'!$A$1:$BC$39</definedName>
    <definedName name="Z_72677669_1B09_407C_AFA8_63FD0270777F_.wvu.PrintArea" localSheetId="5" hidden="1">'2606월'!$A$1:$BC$38</definedName>
    <definedName name="Z_74FCB475_965E_4F70_9F3F_D907828A9758_.wvu.PrintArea" localSheetId="6" hidden="1">'2024년 전체'!$A$1:$BR$20</definedName>
    <definedName name="Z_74FCB475_965E_4F70_9F3F_D907828A9758_.wvu.PrintArea" localSheetId="7" hidden="1">'2025년 전체'!$A$1:$BR$20</definedName>
    <definedName name="Z_74FCB475_965E_4F70_9F3F_D907828A9758_.wvu.PrintArea" localSheetId="8" hidden="1">'2026년 전체'!$A$1:$BC$20</definedName>
    <definedName name="Z_74FCB475_965E_4F70_9F3F_D907828A9758_.wvu.PrintArea" localSheetId="0" hidden="1">'2601월'!$A$1:$BC$39</definedName>
    <definedName name="Z_74FCB475_965E_4F70_9F3F_D907828A9758_.wvu.PrintArea" localSheetId="1" hidden="1">'2602월'!$A$1:$BC$36</definedName>
    <definedName name="Z_74FCB475_965E_4F70_9F3F_D907828A9758_.wvu.PrintArea" localSheetId="2" hidden="1">'2603월'!$A$1:$BC$39</definedName>
    <definedName name="Z_74FCB475_965E_4F70_9F3F_D907828A9758_.wvu.PrintArea" localSheetId="3" hidden="1">'2604월'!$A$1:$BC$38</definedName>
    <definedName name="Z_74FCB475_965E_4F70_9F3F_D907828A9758_.wvu.PrintArea" localSheetId="4" hidden="1">'2605월'!$A$1:$BC$39</definedName>
    <definedName name="Z_74FCB475_965E_4F70_9F3F_D907828A9758_.wvu.PrintArea" localSheetId="5" hidden="1">'2606월'!$A$1:$BC$38</definedName>
    <definedName name="Z_7606F0F5_EEC2_4972_A673_7F6C9DA7C655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7606F0F5_EEC2_4972_A673_7F6C9DA7C655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7606F0F5_EEC2_4972_A673_7F6C9DA7C655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7606F0F5_EEC2_4972_A673_7F6C9DA7C655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7606F0F5_EEC2_4972_A673_7F6C9DA7C655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7606F0F5_EEC2_4972_A673_7F6C9DA7C655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7606F0F5_EEC2_4972_A673_7F6C9DA7C655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7606F0F5_EEC2_4972_A673_7F6C9DA7C655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7606F0F5_EEC2_4972_A673_7F6C9DA7C655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7606F0F5_EEC2_4972_A673_7F6C9DA7C655_.wvu.PrintArea" localSheetId="6" hidden="1">'2024년 전체'!$A$1:$BN$20</definedName>
    <definedName name="Z_7606F0F5_EEC2_4972_A673_7F6C9DA7C655_.wvu.PrintArea" localSheetId="7" hidden="1">'2025년 전체'!$A$1:$BN$20</definedName>
    <definedName name="Z_7606F0F5_EEC2_4972_A673_7F6C9DA7C655_.wvu.PrintArea" localSheetId="8" hidden="1">'2026년 전체'!$A$1:$AY$20</definedName>
    <definedName name="Z_7606F0F5_EEC2_4972_A673_7F6C9DA7C655_.wvu.PrintArea" localSheetId="0" hidden="1">'2601월'!$A$1:$AY$39</definedName>
    <definedName name="Z_7606F0F5_EEC2_4972_A673_7F6C9DA7C655_.wvu.PrintArea" localSheetId="1" hidden="1">'2602월'!$A$1:$AY$36</definedName>
    <definedName name="Z_7606F0F5_EEC2_4972_A673_7F6C9DA7C655_.wvu.PrintArea" localSheetId="2" hidden="1">'2603월'!$A$1:$AY$39</definedName>
    <definedName name="Z_7606F0F5_EEC2_4972_A673_7F6C9DA7C655_.wvu.PrintArea" localSheetId="3" hidden="1">'2604월'!$A$1:$AY$38</definedName>
    <definedName name="Z_7606F0F5_EEC2_4972_A673_7F6C9DA7C655_.wvu.PrintArea" localSheetId="4" hidden="1">'2605월'!$A$1:$AY$39</definedName>
    <definedName name="Z_7606F0F5_EEC2_4972_A673_7F6C9DA7C655_.wvu.PrintArea" localSheetId="5" hidden="1">'2606월'!$A$1:$AY$38</definedName>
    <definedName name="Z_76E0D1DA_88C6_4977_B6E7_43EBC9902591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76E0D1DA_88C6_4977_B6E7_43EBC9902591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76E0D1DA_88C6_4977_B6E7_43EBC9902591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76E0D1DA_88C6_4977_B6E7_43EBC9902591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76E0D1DA_88C6_4977_B6E7_43EBC9902591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76E0D1DA_88C6_4977_B6E7_43EBC9902591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76E0D1DA_88C6_4977_B6E7_43EBC9902591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76E0D1DA_88C6_4977_B6E7_43EBC9902591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76E0D1DA_88C6_4977_B6E7_43EBC9902591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76E0D1DA_88C6_4977_B6E7_43EBC9902591_.wvu.PrintArea" localSheetId="6" hidden="1">'2024년 전체'!$A$1:$BN$20</definedName>
    <definedName name="Z_76E0D1DA_88C6_4977_B6E7_43EBC9902591_.wvu.PrintArea" localSheetId="7" hidden="1">'2025년 전체'!$A$1:$BN$20</definedName>
    <definedName name="Z_76E0D1DA_88C6_4977_B6E7_43EBC9902591_.wvu.PrintArea" localSheetId="8" hidden="1">'2026년 전체'!$A$1:$AY$20</definedName>
    <definedName name="Z_76E0D1DA_88C6_4977_B6E7_43EBC9902591_.wvu.PrintArea" localSheetId="0" hidden="1">'2601월'!$A$1:$AY$39</definedName>
    <definedName name="Z_76E0D1DA_88C6_4977_B6E7_43EBC9902591_.wvu.PrintArea" localSheetId="1" hidden="1">'2602월'!$A$1:$AY$36</definedName>
    <definedName name="Z_76E0D1DA_88C6_4977_B6E7_43EBC9902591_.wvu.PrintArea" localSheetId="2" hidden="1">'2603월'!$A$1:$AY$39</definedName>
    <definedName name="Z_76E0D1DA_88C6_4977_B6E7_43EBC9902591_.wvu.PrintArea" localSheetId="3" hidden="1">'2604월'!$A$1:$AY$38</definedName>
    <definedName name="Z_76E0D1DA_88C6_4977_B6E7_43EBC9902591_.wvu.PrintArea" localSheetId="4" hidden="1">'2605월'!$A$1:$AY$39</definedName>
    <definedName name="Z_76E0D1DA_88C6_4977_B6E7_43EBC9902591_.wvu.PrintArea" localSheetId="5" hidden="1">'2606월'!$A$1:$AY$38</definedName>
    <definedName name="Z_77E05D26_5114_4F2A_9FA7_E20B9892DCE8_.wvu.PrintArea" localSheetId="6" hidden="1">'2024년 전체'!$A$1:$BN$20</definedName>
    <definedName name="Z_77E05D26_5114_4F2A_9FA7_E20B9892DCE8_.wvu.PrintArea" localSheetId="7" hidden="1">'2025년 전체'!$A$1:$BN$20</definedName>
    <definedName name="Z_77E05D26_5114_4F2A_9FA7_E20B9892DCE8_.wvu.PrintArea" localSheetId="8" hidden="1">'2026년 전체'!$A$1:$AY$20</definedName>
    <definedName name="Z_7BE69261_F85E_494E_8FFB_ECFFBE771930_.wvu.PrintArea" localSheetId="6" hidden="1">'2024년 전체'!$A$1:$BN$20</definedName>
    <definedName name="Z_7BE69261_F85E_494E_8FFB_ECFFBE771930_.wvu.PrintArea" localSheetId="7" hidden="1">'2025년 전체'!$A$1:$BN$20</definedName>
    <definedName name="Z_7BE69261_F85E_494E_8FFB_ECFFBE771930_.wvu.PrintArea" localSheetId="8" hidden="1">'2026년 전체'!$A$1:$AY$20</definedName>
    <definedName name="Z_7BE69261_F85E_494E_8FFB_ECFFBE771930_.wvu.PrintArea" localSheetId="0" hidden="1">'2601월'!$A$1:$AY$39</definedName>
    <definedName name="Z_7BE69261_F85E_494E_8FFB_ECFFBE771930_.wvu.PrintArea" localSheetId="1" hidden="1">'2602월'!$A$1:$AY$36</definedName>
    <definedName name="Z_7BE69261_F85E_494E_8FFB_ECFFBE771930_.wvu.PrintArea" localSheetId="2" hidden="1">'2603월'!$A$1:$AY$39</definedName>
    <definedName name="Z_7BE69261_F85E_494E_8FFB_ECFFBE771930_.wvu.PrintArea" localSheetId="3" hidden="1">'2604월'!$A$1:$AY$38</definedName>
    <definedName name="Z_7BE69261_F85E_494E_8FFB_ECFFBE771930_.wvu.PrintArea" localSheetId="4" hidden="1">'2605월'!$A$1:$AY$39</definedName>
    <definedName name="Z_7BE69261_F85E_494E_8FFB_ECFFBE771930_.wvu.PrintArea" localSheetId="5" hidden="1">'2606월'!$A$1:$AY$38</definedName>
    <definedName name="Z_7E1D977D_086D_4386_A874_ACDA56BE6BEF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7E1D977D_086D_4386_A874_ACDA56BE6BEF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7E1D977D_086D_4386_A874_ACDA56BE6BEF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7E1D977D_086D_4386_A874_ACDA56BE6BEF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7E1D977D_086D_4386_A874_ACDA56BE6BEF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7E1D977D_086D_4386_A874_ACDA56BE6BEF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7E1D977D_086D_4386_A874_ACDA56BE6BEF_.wvu.PrintArea" localSheetId="6" hidden="1">'2024년 전체'!$A$1:$BN$20</definedName>
    <definedName name="Z_7E1D977D_086D_4386_A874_ACDA56BE6BEF_.wvu.PrintArea" localSheetId="7" hidden="1">'2025년 전체'!$A$1:$BN$20</definedName>
    <definedName name="Z_7E1D977D_086D_4386_A874_ACDA56BE6BEF_.wvu.PrintArea" localSheetId="8" hidden="1">'2026년 전체'!$A$1:$AY$20</definedName>
    <definedName name="Z_7E1D977D_086D_4386_A874_ACDA56BE6BEF_.wvu.PrintArea" localSheetId="0" hidden="1">'2601월'!$A$1:$AY$39</definedName>
    <definedName name="Z_7E1D977D_086D_4386_A874_ACDA56BE6BEF_.wvu.PrintArea" localSheetId="1" hidden="1">'2602월'!$A$1:$AY$36</definedName>
    <definedName name="Z_7E1D977D_086D_4386_A874_ACDA56BE6BEF_.wvu.PrintArea" localSheetId="2" hidden="1">'2603월'!$A$1:$AY$39</definedName>
    <definedName name="Z_7E1D977D_086D_4386_A874_ACDA56BE6BEF_.wvu.PrintArea" localSheetId="3" hidden="1">'2604월'!$A$1:$AY$38</definedName>
    <definedName name="Z_7E1D977D_086D_4386_A874_ACDA56BE6BEF_.wvu.PrintArea" localSheetId="4" hidden="1">'2605월'!$A$1:$AY$39</definedName>
    <definedName name="Z_7E1D977D_086D_4386_A874_ACDA56BE6BEF_.wvu.PrintArea" localSheetId="5" hidden="1">'2606월'!$A$1:$AY$38</definedName>
    <definedName name="Z_82A52356_A10C_40DB_A9C1_06806AE68BFA_.wvu.PrintArea" localSheetId="0" hidden="1">'2601월'!$A$1:$AY$39</definedName>
    <definedName name="Z_82A52356_A10C_40DB_A9C1_06806AE68BFA_.wvu.PrintArea" localSheetId="1" hidden="1">'2602월'!$A$1:$AY$36</definedName>
    <definedName name="Z_82A52356_A10C_40DB_A9C1_06806AE68BFA_.wvu.PrintArea" localSheetId="2" hidden="1">'2603월'!$A$1:$AY$39</definedName>
    <definedName name="Z_82A52356_A10C_40DB_A9C1_06806AE68BFA_.wvu.PrintArea" localSheetId="3" hidden="1">'2604월'!$A$1:$AY$38</definedName>
    <definedName name="Z_82A52356_A10C_40DB_A9C1_06806AE68BFA_.wvu.PrintArea" localSheetId="4" hidden="1">'2605월'!$A$1:$AY$39</definedName>
    <definedName name="Z_82A52356_A10C_40DB_A9C1_06806AE68BFA_.wvu.PrintArea" localSheetId="5" hidden="1">'2606월'!$A$1:$AY$38</definedName>
    <definedName name="Z_834A5622_841D_4E83_94D8_D3A77BB481CC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834A5622_841D_4E83_94D8_D3A77BB481CC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834A5622_841D_4E83_94D8_D3A77BB481CC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834A5622_841D_4E83_94D8_D3A77BB481CC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834A5622_841D_4E83_94D8_D3A77BB481CC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834A5622_841D_4E83_94D8_D3A77BB481CC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834A5622_841D_4E83_94D8_D3A77BB481CC_.wvu.PrintArea" localSheetId="6" hidden="1">'2024년 전체'!$A$1:$BN$20</definedName>
    <definedName name="Z_834A5622_841D_4E83_94D8_D3A77BB481CC_.wvu.PrintArea" localSheetId="7" hidden="1">'2025년 전체'!$A$1:$BN$20</definedName>
    <definedName name="Z_834A5622_841D_4E83_94D8_D3A77BB481CC_.wvu.PrintArea" localSheetId="8" hidden="1">'2026년 전체'!$A$1:$AY$20</definedName>
    <definedName name="Z_834A5622_841D_4E83_94D8_D3A77BB481CC_.wvu.PrintArea" localSheetId="0" hidden="1">'2601월'!$A$1:$AY$39</definedName>
    <definedName name="Z_834A5622_841D_4E83_94D8_D3A77BB481CC_.wvu.PrintArea" localSheetId="1" hidden="1">'2602월'!$A$1:$AY$36</definedName>
    <definedName name="Z_834A5622_841D_4E83_94D8_D3A77BB481CC_.wvu.PrintArea" localSheetId="2" hidden="1">'2603월'!$A$1:$AY$39</definedName>
    <definedName name="Z_834A5622_841D_4E83_94D8_D3A77BB481CC_.wvu.PrintArea" localSheetId="3" hidden="1">'2604월'!$A$1:$AY$38</definedName>
    <definedName name="Z_834A5622_841D_4E83_94D8_D3A77BB481CC_.wvu.PrintArea" localSheetId="4" hidden="1">'2605월'!$A$1:$AY$39</definedName>
    <definedName name="Z_834A5622_841D_4E83_94D8_D3A77BB481CC_.wvu.PrintArea" localSheetId="5" hidden="1">'2606월'!$A$1:$AY$38</definedName>
    <definedName name="Z_8416CAB1_B052_41E0_9A59_F3BA86AC3980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8416CAB1_B052_41E0_9A59_F3BA86AC3980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8416CAB1_B052_41E0_9A59_F3BA86AC3980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8416CAB1_B052_41E0_9A59_F3BA86AC3980_.wvu.Cols" localSheetId="0" hidden="1">'2601월'!$C:$C,'2601월'!$F:$F,'2601월'!$L:$O,'2601월'!$Q:$Q,'2601월'!$T:$T,'2601월'!$V:$AC,'2601월'!#REF!,'2601월'!#REF!,'2601월'!$AE:$AE,'2601월'!$AL:$AO,'2601월'!$AQ:$AQ</definedName>
    <definedName name="Z_8416CAB1_B052_41E0_9A59_F3BA86AC3980_.wvu.Cols" localSheetId="1" hidden="1">'2602월'!$C:$C,'2602월'!$F:$F,'2602월'!$L:$O,'2602월'!$Q:$Q,'2602월'!$T:$T,'2602월'!$V:$AC,'2602월'!#REF!,'2602월'!#REF!,'2602월'!$AE:$AE,'2602월'!$AL:$AO,'2602월'!$AQ:$AQ</definedName>
    <definedName name="Z_8416CAB1_B052_41E0_9A59_F3BA86AC3980_.wvu.Cols" localSheetId="2" hidden="1">'2603월'!$C:$C,'2603월'!$F:$F,'2603월'!$L:$O,'2603월'!$Q:$Q,'2603월'!$T:$T,'2603월'!$V:$AC,'2603월'!#REF!,'2603월'!#REF!,'2603월'!$AE:$AE,'2603월'!$AL:$AO,'2603월'!$AQ:$AQ</definedName>
    <definedName name="Z_8416CAB1_B052_41E0_9A59_F3BA86AC3980_.wvu.Cols" localSheetId="3" hidden="1">'2604월'!$C:$C,'2604월'!$F:$F,'2604월'!$L:$O,'2604월'!$Q:$Q,'2604월'!$T:$T,'2604월'!$V:$AC,'2604월'!#REF!,'2604월'!#REF!,'2604월'!$AE:$AE,'2604월'!$AL:$AO,'2604월'!$AQ:$AQ</definedName>
    <definedName name="Z_8416CAB1_B052_41E0_9A59_F3BA86AC3980_.wvu.Cols" localSheetId="4" hidden="1">'2605월'!$C:$C,'2605월'!$F:$F,'2605월'!$L:$O,'2605월'!$Q:$Q,'2605월'!$T:$T,'2605월'!$V:$AC,'2605월'!#REF!,'2605월'!#REF!,'2605월'!$AE:$AE,'2605월'!$AL:$AO,'2605월'!$AQ:$AQ</definedName>
    <definedName name="Z_8416CAB1_B052_41E0_9A59_F3BA86AC3980_.wvu.Cols" localSheetId="5" hidden="1">'2606월'!$C:$C,'2606월'!$F:$F,'2606월'!$L:$O,'2606월'!$Q:$Q,'2606월'!$T:$T,'2606월'!$V:$AC,'2606월'!#REF!,'2606월'!#REF!,'2606월'!$AE:$AE,'2606월'!$AL:$AO,'2606월'!$AQ:$AQ</definedName>
    <definedName name="Z_8416CAB1_B052_41E0_9A59_F3BA86AC3980_.wvu.PrintArea" localSheetId="6" hidden="1">'2024년 전체'!$A$1:$BR$20</definedName>
    <definedName name="Z_8416CAB1_B052_41E0_9A59_F3BA86AC3980_.wvu.PrintArea" localSheetId="7" hidden="1">'2025년 전체'!$A$1:$BR$20</definedName>
    <definedName name="Z_8416CAB1_B052_41E0_9A59_F3BA86AC3980_.wvu.PrintArea" localSheetId="8" hidden="1">'2026년 전체'!$A$1:$BC$20</definedName>
    <definedName name="Z_8416CAB1_B052_41E0_9A59_F3BA86AC3980_.wvu.PrintArea" localSheetId="0" hidden="1">'2601월'!$A$1:$BC$39</definedName>
    <definedName name="Z_8416CAB1_B052_41E0_9A59_F3BA86AC3980_.wvu.PrintArea" localSheetId="1" hidden="1">'2602월'!$A$1:$BC$36</definedName>
    <definedName name="Z_8416CAB1_B052_41E0_9A59_F3BA86AC3980_.wvu.PrintArea" localSheetId="2" hidden="1">'2603월'!$A$1:$BC$39</definedName>
    <definedName name="Z_8416CAB1_B052_41E0_9A59_F3BA86AC3980_.wvu.PrintArea" localSheetId="3" hidden="1">'2604월'!$A$1:$BC$38</definedName>
    <definedName name="Z_8416CAB1_B052_41E0_9A59_F3BA86AC3980_.wvu.PrintArea" localSheetId="4" hidden="1">'2605월'!$A$1:$BC$39</definedName>
    <definedName name="Z_8416CAB1_B052_41E0_9A59_F3BA86AC3980_.wvu.PrintArea" localSheetId="5" hidden="1">'2606월'!$A$1:$BC$38</definedName>
    <definedName name="Z_84D96FCE_5636_4070_B2E0_EC4D0B038FFF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84D96FCE_5636_4070_B2E0_EC4D0B038FFF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84D96FCE_5636_4070_B2E0_EC4D0B038FFF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84D96FCE_5636_4070_B2E0_EC4D0B038FFF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84D96FCE_5636_4070_B2E0_EC4D0B038FFF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84D96FCE_5636_4070_B2E0_EC4D0B038FFF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84D96FCE_5636_4070_B2E0_EC4D0B038FFF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84D96FCE_5636_4070_B2E0_EC4D0B038FFF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84D96FCE_5636_4070_B2E0_EC4D0B038FFF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84D96FCE_5636_4070_B2E0_EC4D0B038FFF_.wvu.PrintArea" localSheetId="6" hidden="1">'2024년 전체'!$A$1:$BN$20</definedName>
    <definedName name="Z_84D96FCE_5636_4070_B2E0_EC4D0B038FFF_.wvu.PrintArea" localSheetId="7" hidden="1">'2025년 전체'!$A$1:$BN$20</definedName>
    <definedName name="Z_84D96FCE_5636_4070_B2E0_EC4D0B038FFF_.wvu.PrintArea" localSheetId="8" hidden="1">'2026년 전체'!$A$1:$AY$20</definedName>
    <definedName name="Z_84D96FCE_5636_4070_B2E0_EC4D0B038FFF_.wvu.PrintArea" localSheetId="0" hidden="1">'2601월'!$A$1:$AY$39</definedName>
    <definedName name="Z_84D96FCE_5636_4070_B2E0_EC4D0B038FFF_.wvu.PrintArea" localSheetId="1" hidden="1">'2602월'!$A$1:$AY$36</definedName>
    <definedName name="Z_84D96FCE_5636_4070_B2E0_EC4D0B038FFF_.wvu.PrintArea" localSheetId="2" hidden="1">'2603월'!$A$1:$AY$39</definedName>
    <definedName name="Z_84D96FCE_5636_4070_B2E0_EC4D0B038FFF_.wvu.PrintArea" localSheetId="3" hidden="1">'2604월'!$A$1:$AY$38</definedName>
    <definedName name="Z_84D96FCE_5636_4070_B2E0_EC4D0B038FFF_.wvu.PrintArea" localSheetId="4" hidden="1">'2605월'!$A$1:$AY$39</definedName>
    <definedName name="Z_84D96FCE_5636_4070_B2E0_EC4D0B038FFF_.wvu.PrintArea" localSheetId="5" hidden="1">'2606월'!$A$1:$AY$38</definedName>
    <definedName name="Z_8A72F836_3B28_4F58_BCCD_171CC80B7F15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8A72F836_3B28_4F58_BCCD_171CC80B7F15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8A72F836_3B28_4F58_BCCD_171CC80B7F15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8A72F836_3B28_4F58_BCCD_171CC80B7F15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8A72F836_3B28_4F58_BCCD_171CC80B7F15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8A72F836_3B28_4F58_BCCD_171CC80B7F15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8A72F836_3B28_4F58_BCCD_171CC80B7F15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8A72F836_3B28_4F58_BCCD_171CC80B7F15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8A72F836_3B28_4F58_BCCD_171CC80B7F15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8A72F836_3B28_4F58_BCCD_171CC80B7F15_.wvu.PrintArea" localSheetId="6" hidden="1">'2024년 전체'!$A$1:$BN$20</definedName>
    <definedName name="Z_8A72F836_3B28_4F58_BCCD_171CC80B7F15_.wvu.PrintArea" localSheetId="7" hidden="1">'2025년 전체'!$A$1:$BN$20</definedName>
    <definedName name="Z_8A72F836_3B28_4F58_BCCD_171CC80B7F15_.wvu.PrintArea" localSheetId="8" hidden="1">'2026년 전체'!$A$1:$AY$20</definedName>
    <definedName name="Z_8A72F836_3B28_4F58_BCCD_171CC80B7F15_.wvu.PrintArea" localSheetId="0" hidden="1">'2601월'!$A$1:$AY$39</definedName>
    <definedName name="Z_8A72F836_3B28_4F58_BCCD_171CC80B7F15_.wvu.PrintArea" localSheetId="1" hidden="1">'2602월'!$A$1:$AY$36</definedName>
    <definedName name="Z_8A72F836_3B28_4F58_BCCD_171CC80B7F15_.wvu.PrintArea" localSheetId="2" hidden="1">'2603월'!$A$1:$AY$39</definedName>
    <definedName name="Z_8A72F836_3B28_4F58_BCCD_171CC80B7F15_.wvu.PrintArea" localSheetId="3" hidden="1">'2604월'!$A$1:$AY$38</definedName>
    <definedName name="Z_8A72F836_3B28_4F58_BCCD_171CC80B7F15_.wvu.PrintArea" localSheetId="4" hidden="1">'2605월'!$A$1:$AY$39</definedName>
    <definedName name="Z_8A72F836_3B28_4F58_BCCD_171CC80B7F15_.wvu.PrintArea" localSheetId="5" hidden="1">'2606월'!$A$1:$AY$38</definedName>
    <definedName name="Z_8CC2A820_0D74_4B4B_BB5A_59585DD262C6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8CC2A820_0D74_4B4B_BB5A_59585DD262C6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8CC2A820_0D74_4B4B_BB5A_59585DD262C6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8CC2A820_0D74_4B4B_BB5A_59585DD262C6_.wvu.Cols" localSheetId="0" hidden="1">'2601월'!$C:$C,'2601월'!$F:$F,'2601월'!$L:$O,'2601월'!$Q:$Q,'2601월'!$T:$T,'2601월'!$V:$AC,'2601월'!#REF!,'2601월'!#REF!,'2601월'!$AE:$AE,'2601월'!$AL:$AO,'2601월'!$AQ:$AQ</definedName>
    <definedName name="Z_8CC2A820_0D74_4B4B_BB5A_59585DD262C6_.wvu.Cols" localSheetId="1" hidden="1">'2602월'!$C:$C,'2602월'!$F:$F,'2602월'!$L:$O,'2602월'!$Q:$Q,'2602월'!$T:$T,'2602월'!$V:$AC,'2602월'!#REF!,'2602월'!#REF!,'2602월'!$AE:$AE,'2602월'!$AL:$AO,'2602월'!$AQ:$AQ</definedName>
    <definedName name="Z_8CC2A820_0D74_4B4B_BB5A_59585DD262C6_.wvu.Cols" localSheetId="2" hidden="1">'2603월'!$C:$C,'2603월'!$F:$F,'2603월'!$L:$O,'2603월'!$Q:$Q,'2603월'!$T:$T,'2603월'!$V:$AC,'2603월'!#REF!,'2603월'!#REF!,'2603월'!$AE:$AE,'2603월'!$AL:$AO,'2603월'!$AQ:$AQ</definedName>
    <definedName name="Z_8CC2A820_0D74_4B4B_BB5A_59585DD262C6_.wvu.Cols" localSheetId="3" hidden="1">'2604월'!$C:$C,'2604월'!$F:$F,'2604월'!$L:$O,'2604월'!$Q:$Q,'2604월'!$T:$T,'2604월'!$V:$AC,'2604월'!#REF!,'2604월'!#REF!,'2604월'!$AE:$AE,'2604월'!$AL:$AO,'2604월'!$AQ:$AQ</definedName>
    <definedName name="Z_8CC2A820_0D74_4B4B_BB5A_59585DD262C6_.wvu.Cols" localSheetId="4" hidden="1">'2605월'!$C:$C,'2605월'!$F:$F,'2605월'!$L:$O,'2605월'!$Q:$Q,'2605월'!$T:$T,'2605월'!$V:$AC,'2605월'!#REF!,'2605월'!#REF!,'2605월'!$AE:$AE,'2605월'!$AL:$AO,'2605월'!$AQ:$AQ</definedName>
    <definedName name="Z_8CC2A820_0D74_4B4B_BB5A_59585DD262C6_.wvu.Cols" localSheetId="5" hidden="1">'2606월'!$C:$C,'2606월'!$F:$F,'2606월'!$L:$O,'2606월'!$Q:$Q,'2606월'!$T:$T,'2606월'!$V:$AC,'2606월'!#REF!,'2606월'!#REF!,'2606월'!$AE:$AE,'2606월'!$AL:$AO,'2606월'!$AQ:$AQ</definedName>
    <definedName name="Z_8CC2A820_0D74_4B4B_BB5A_59585DD262C6_.wvu.PrintArea" localSheetId="6" hidden="1">'2024년 전체'!$A$1:$BR$20</definedName>
    <definedName name="Z_8CC2A820_0D74_4B4B_BB5A_59585DD262C6_.wvu.PrintArea" localSheetId="7" hidden="1">'2025년 전체'!$A$1:$BR$20</definedName>
    <definedName name="Z_8CC2A820_0D74_4B4B_BB5A_59585DD262C6_.wvu.PrintArea" localSheetId="8" hidden="1">'2026년 전체'!$A$1:$BC$20</definedName>
    <definedName name="Z_8CC2A820_0D74_4B4B_BB5A_59585DD262C6_.wvu.PrintArea" localSheetId="0" hidden="1">'2601월'!$A$1:$BC$39</definedName>
    <definedName name="Z_8CC2A820_0D74_4B4B_BB5A_59585DD262C6_.wvu.PrintArea" localSheetId="1" hidden="1">'2602월'!$A$1:$BC$36</definedName>
    <definedName name="Z_8CC2A820_0D74_4B4B_BB5A_59585DD262C6_.wvu.PrintArea" localSheetId="2" hidden="1">'2603월'!$A$1:$BC$39</definedName>
    <definedName name="Z_8CC2A820_0D74_4B4B_BB5A_59585DD262C6_.wvu.PrintArea" localSheetId="3" hidden="1">'2604월'!$A$1:$BC$38</definedName>
    <definedName name="Z_8CC2A820_0D74_4B4B_BB5A_59585DD262C6_.wvu.PrintArea" localSheetId="4" hidden="1">'2605월'!$A$1:$BC$39</definedName>
    <definedName name="Z_8CC2A820_0D74_4B4B_BB5A_59585DD262C6_.wvu.PrintArea" localSheetId="5" hidden="1">'2606월'!$A$1:$BC$38</definedName>
    <definedName name="Z_8E16236E_6E46_4595_A22A_14E5BE81A030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8E16236E_6E46_4595_A22A_14E5BE81A030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8E16236E_6E46_4595_A22A_14E5BE81A030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8E16236E_6E46_4595_A22A_14E5BE81A030_.wvu.Cols" localSheetId="0" hidden="1">'2601월'!$C:$C,'2601월'!$F:$F,'2601월'!$L:$O,'2601월'!$Q:$Q,'2601월'!$T:$T,'2601월'!$V:$AC,'2601월'!#REF!,'2601월'!#REF!,'2601월'!$AE:$AE,'2601월'!$AL:$AO,'2601월'!$AQ:$AQ</definedName>
    <definedName name="Z_8E16236E_6E46_4595_A22A_14E5BE81A030_.wvu.Cols" localSheetId="1" hidden="1">'2602월'!$C:$C,'2602월'!$F:$F,'2602월'!$L:$O,'2602월'!$Q:$Q,'2602월'!$T:$T,'2602월'!$V:$AC,'2602월'!#REF!,'2602월'!#REF!,'2602월'!$AE:$AE,'2602월'!$AL:$AO,'2602월'!$AQ:$AQ</definedName>
    <definedName name="Z_8E16236E_6E46_4595_A22A_14E5BE81A030_.wvu.Cols" localSheetId="2" hidden="1">'2603월'!$C:$C,'2603월'!$F:$F,'2603월'!$L:$O,'2603월'!$Q:$Q,'2603월'!$T:$T,'2603월'!$V:$AC,'2603월'!#REF!,'2603월'!#REF!,'2603월'!$AE:$AE,'2603월'!$AL:$AO,'2603월'!$AQ:$AQ</definedName>
    <definedName name="Z_8E16236E_6E46_4595_A22A_14E5BE81A030_.wvu.Cols" localSheetId="3" hidden="1">'2604월'!$C:$C,'2604월'!$F:$F,'2604월'!$L:$O,'2604월'!$Q:$Q,'2604월'!$T:$T,'2604월'!$V:$AC,'2604월'!#REF!,'2604월'!#REF!,'2604월'!$AE:$AE,'2604월'!$AL:$AO,'2604월'!$AQ:$AQ</definedName>
    <definedName name="Z_8E16236E_6E46_4595_A22A_14E5BE81A030_.wvu.Cols" localSheetId="4" hidden="1">'2605월'!$C:$C,'2605월'!$F:$F,'2605월'!$L:$O,'2605월'!$Q:$Q,'2605월'!$T:$T,'2605월'!$V:$AC,'2605월'!#REF!,'2605월'!#REF!,'2605월'!$AE:$AE,'2605월'!$AL:$AO,'2605월'!$AQ:$AQ</definedName>
    <definedName name="Z_8E16236E_6E46_4595_A22A_14E5BE81A030_.wvu.Cols" localSheetId="5" hidden="1">'2606월'!$C:$C,'2606월'!$F:$F,'2606월'!$L:$O,'2606월'!$Q:$Q,'2606월'!$T:$T,'2606월'!$V:$AC,'2606월'!#REF!,'2606월'!#REF!,'2606월'!$AE:$AE,'2606월'!$AL:$AO,'2606월'!$AQ:$AQ</definedName>
    <definedName name="Z_8E16236E_6E46_4595_A22A_14E5BE81A030_.wvu.PrintArea" localSheetId="6" hidden="1">'2024년 전체'!$A$1:$BR$20</definedName>
    <definedName name="Z_8E16236E_6E46_4595_A22A_14E5BE81A030_.wvu.PrintArea" localSheetId="7" hidden="1">'2025년 전체'!$A$1:$BR$20</definedName>
    <definedName name="Z_8E16236E_6E46_4595_A22A_14E5BE81A030_.wvu.PrintArea" localSheetId="8" hidden="1">'2026년 전체'!$A$1:$BC$20</definedName>
    <definedName name="Z_8E16236E_6E46_4595_A22A_14E5BE81A030_.wvu.PrintArea" localSheetId="0" hidden="1">'2601월'!$A$1:$BC$39</definedName>
    <definedName name="Z_8E16236E_6E46_4595_A22A_14E5BE81A030_.wvu.PrintArea" localSheetId="1" hidden="1">'2602월'!$A$1:$BC$36</definedName>
    <definedName name="Z_8E16236E_6E46_4595_A22A_14E5BE81A030_.wvu.PrintArea" localSheetId="2" hidden="1">'2603월'!$A$1:$BC$39</definedName>
    <definedName name="Z_8E16236E_6E46_4595_A22A_14E5BE81A030_.wvu.PrintArea" localSheetId="3" hidden="1">'2604월'!$A$1:$BC$38</definedName>
    <definedName name="Z_8E16236E_6E46_4595_A22A_14E5BE81A030_.wvu.PrintArea" localSheetId="4" hidden="1">'2605월'!$A$1:$BC$39</definedName>
    <definedName name="Z_8E16236E_6E46_4595_A22A_14E5BE81A030_.wvu.PrintArea" localSheetId="5" hidden="1">'2606월'!$A$1:$BC$38</definedName>
    <definedName name="Z_8E59F65A_3ED0_4D1D_B856_00A812CD4999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8E59F65A_3ED0_4D1D_B856_00A812CD4999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8E59F65A_3ED0_4D1D_B856_00A812CD4999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8E59F65A_3ED0_4D1D_B856_00A812CD4999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8E59F65A_3ED0_4D1D_B856_00A812CD4999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8E59F65A_3ED0_4D1D_B856_00A812CD4999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8E59F65A_3ED0_4D1D_B856_00A812CD4999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8E59F65A_3ED0_4D1D_B856_00A812CD4999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8E59F65A_3ED0_4D1D_B856_00A812CD4999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8E59F65A_3ED0_4D1D_B856_00A812CD4999_.wvu.PrintArea" localSheetId="6" hidden="1">'2024년 전체'!$A$1:$BN$20</definedName>
    <definedName name="Z_8E59F65A_3ED0_4D1D_B856_00A812CD4999_.wvu.PrintArea" localSheetId="7" hidden="1">'2025년 전체'!$A$1:$BN$20</definedName>
    <definedName name="Z_8E59F65A_3ED0_4D1D_B856_00A812CD4999_.wvu.PrintArea" localSheetId="8" hidden="1">'2026년 전체'!$A$1:$AY$20</definedName>
    <definedName name="Z_8E59F65A_3ED0_4D1D_B856_00A812CD4999_.wvu.PrintArea" localSheetId="0" hidden="1">'2601월'!$A$1:$AY$39</definedName>
    <definedName name="Z_8E59F65A_3ED0_4D1D_B856_00A812CD4999_.wvu.PrintArea" localSheetId="1" hidden="1">'2602월'!$A$1:$AY$36</definedName>
    <definedName name="Z_8E59F65A_3ED0_4D1D_B856_00A812CD4999_.wvu.PrintArea" localSheetId="2" hidden="1">'2603월'!$A$1:$AY$39</definedName>
    <definedName name="Z_8E59F65A_3ED0_4D1D_B856_00A812CD4999_.wvu.PrintArea" localSheetId="3" hidden="1">'2604월'!$A$1:$AY$38</definedName>
    <definedName name="Z_8E59F65A_3ED0_4D1D_B856_00A812CD4999_.wvu.PrintArea" localSheetId="4" hidden="1">'2605월'!$A$1:$AY$39</definedName>
    <definedName name="Z_8E59F65A_3ED0_4D1D_B856_00A812CD4999_.wvu.PrintArea" localSheetId="5" hidden="1">'2606월'!$A$1:$AY$38</definedName>
    <definedName name="Z_8F687BB8_8180_4346_9C56_3DF3298E61E8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8F687BB8_8180_4346_9C56_3DF3298E61E8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8F687BB8_8180_4346_9C56_3DF3298E61E8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8F687BB8_8180_4346_9C56_3DF3298E61E8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8F687BB8_8180_4346_9C56_3DF3298E61E8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8F687BB8_8180_4346_9C56_3DF3298E61E8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8F687BB8_8180_4346_9C56_3DF3298E61E8_.wvu.PrintArea" localSheetId="6" hidden="1">'2024년 전체'!$A$1:$BN$20</definedName>
    <definedName name="Z_8F687BB8_8180_4346_9C56_3DF3298E61E8_.wvu.PrintArea" localSheetId="7" hidden="1">'2025년 전체'!$A$1:$BN$20</definedName>
    <definedName name="Z_8F687BB8_8180_4346_9C56_3DF3298E61E8_.wvu.PrintArea" localSheetId="8" hidden="1">'2026년 전체'!$A$1:$AY$20</definedName>
    <definedName name="Z_8F687BB8_8180_4346_9C56_3DF3298E61E8_.wvu.PrintArea" localSheetId="0" hidden="1">'2601월'!$A$1:$AY$39</definedName>
    <definedName name="Z_8F687BB8_8180_4346_9C56_3DF3298E61E8_.wvu.PrintArea" localSheetId="1" hidden="1">'2602월'!$A$1:$AY$36</definedName>
    <definedName name="Z_8F687BB8_8180_4346_9C56_3DF3298E61E8_.wvu.PrintArea" localSheetId="2" hidden="1">'2603월'!$A$1:$AY$39</definedName>
    <definedName name="Z_8F687BB8_8180_4346_9C56_3DF3298E61E8_.wvu.PrintArea" localSheetId="3" hidden="1">'2604월'!$A$1:$AY$38</definedName>
    <definedName name="Z_8F687BB8_8180_4346_9C56_3DF3298E61E8_.wvu.PrintArea" localSheetId="4" hidden="1">'2605월'!$A$1:$AY$39</definedName>
    <definedName name="Z_8F687BB8_8180_4346_9C56_3DF3298E61E8_.wvu.PrintArea" localSheetId="5" hidden="1">'2606월'!$A$1:$AY$38</definedName>
    <definedName name="Z_8F6E24E2_0573_40A1_B233_8C2F25082531_.wvu.PrintArea" localSheetId="6" hidden="1">'2024년 전체'!$A$1:$BN$20</definedName>
    <definedName name="Z_8F6E24E2_0573_40A1_B233_8C2F25082531_.wvu.PrintArea" localSheetId="7" hidden="1">'2025년 전체'!$A$1:$BN$20</definedName>
    <definedName name="Z_8F6E24E2_0573_40A1_B233_8C2F25082531_.wvu.PrintArea" localSheetId="8" hidden="1">'2026년 전체'!$A$1:$AY$20</definedName>
    <definedName name="Z_8F6E24E2_0573_40A1_B233_8C2F25082531_.wvu.PrintArea" localSheetId="0" hidden="1">'2601월'!$A$1:$AY$39</definedName>
    <definedName name="Z_8F6E24E2_0573_40A1_B233_8C2F25082531_.wvu.PrintArea" localSheetId="1" hidden="1">'2602월'!$A$1:$AY$36</definedName>
    <definedName name="Z_8F6E24E2_0573_40A1_B233_8C2F25082531_.wvu.PrintArea" localSheetId="2" hidden="1">'2603월'!$A$1:$AY$39</definedName>
    <definedName name="Z_8F6E24E2_0573_40A1_B233_8C2F25082531_.wvu.PrintArea" localSheetId="3" hidden="1">'2604월'!$A$1:$AY$38</definedName>
    <definedName name="Z_8F6E24E2_0573_40A1_B233_8C2F25082531_.wvu.PrintArea" localSheetId="4" hidden="1">'2605월'!$A$1:$AY$39</definedName>
    <definedName name="Z_8F6E24E2_0573_40A1_B233_8C2F25082531_.wvu.PrintArea" localSheetId="5" hidden="1">'2606월'!$A$1:$AY$38</definedName>
    <definedName name="Z_8FAAE3CC_96BF_40DC_9E00_5B027811A055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8FAAE3CC_96BF_40DC_9E00_5B027811A055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8FAAE3CC_96BF_40DC_9E00_5B027811A055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8FAAE3CC_96BF_40DC_9E00_5B027811A055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8FAAE3CC_96BF_40DC_9E00_5B027811A055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8FAAE3CC_96BF_40DC_9E00_5B027811A055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8FAAE3CC_96BF_40DC_9E00_5B027811A055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8FAAE3CC_96BF_40DC_9E00_5B027811A055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8FAAE3CC_96BF_40DC_9E00_5B027811A055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8FAAE3CC_96BF_40DC_9E00_5B027811A055_.wvu.PrintArea" localSheetId="6" hidden="1">'2024년 전체'!$A$1:$BR$20</definedName>
    <definedName name="Z_8FAAE3CC_96BF_40DC_9E00_5B027811A055_.wvu.PrintArea" localSheetId="7" hidden="1">'2025년 전체'!$A$1:$BR$20</definedName>
    <definedName name="Z_8FAAE3CC_96BF_40DC_9E00_5B027811A055_.wvu.PrintArea" localSheetId="8" hidden="1">'2026년 전체'!$A$1:$BC$20</definedName>
    <definedName name="Z_8FAAE3CC_96BF_40DC_9E00_5B027811A055_.wvu.PrintArea" localSheetId="0" hidden="1">'2601월'!$A$1:$BC$39</definedName>
    <definedName name="Z_8FAAE3CC_96BF_40DC_9E00_5B027811A055_.wvu.PrintArea" localSheetId="1" hidden="1">'2602월'!$A$1:$BC$36</definedName>
    <definedName name="Z_8FAAE3CC_96BF_40DC_9E00_5B027811A055_.wvu.PrintArea" localSheetId="2" hidden="1">'2603월'!$A$1:$BC$39</definedName>
    <definedName name="Z_8FAAE3CC_96BF_40DC_9E00_5B027811A055_.wvu.PrintArea" localSheetId="3" hidden="1">'2604월'!$A$1:$BC$38</definedName>
    <definedName name="Z_8FAAE3CC_96BF_40DC_9E00_5B027811A055_.wvu.PrintArea" localSheetId="4" hidden="1">'2605월'!$A$1:$BC$39</definedName>
    <definedName name="Z_8FAAE3CC_96BF_40DC_9E00_5B027811A055_.wvu.PrintArea" localSheetId="5" hidden="1">'2606월'!$A$1:$BC$38</definedName>
    <definedName name="Z_90213D72_5851_41E3_AAC3_2F973526EF94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90213D72_5851_41E3_AAC3_2F973526EF94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90213D72_5851_41E3_AAC3_2F973526EF94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90213D72_5851_41E3_AAC3_2F973526EF94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90213D72_5851_41E3_AAC3_2F973526EF94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90213D72_5851_41E3_AAC3_2F973526EF94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90213D72_5851_41E3_AAC3_2F973526EF94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90213D72_5851_41E3_AAC3_2F973526EF94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90213D72_5851_41E3_AAC3_2F973526EF94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90213D72_5851_41E3_AAC3_2F973526EF94_.wvu.PrintArea" localSheetId="6" hidden="1">'2024년 전체'!$A$1:$BN$20</definedName>
    <definedName name="Z_90213D72_5851_41E3_AAC3_2F973526EF94_.wvu.PrintArea" localSheetId="7" hidden="1">'2025년 전체'!$A$1:$BN$20</definedName>
    <definedName name="Z_90213D72_5851_41E3_AAC3_2F973526EF94_.wvu.PrintArea" localSheetId="8" hidden="1">'2026년 전체'!$A$1:$AY$20</definedName>
    <definedName name="Z_90213D72_5851_41E3_AAC3_2F973526EF94_.wvu.PrintArea" localSheetId="0" hidden="1">'2601월'!$A$1:$AY$39</definedName>
    <definedName name="Z_90213D72_5851_41E3_AAC3_2F973526EF94_.wvu.PrintArea" localSheetId="1" hidden="1">'2602월'!$A$1:$AY$36</definedName>
    <definedName name="Z_90213D72_5851_41E3_AAC3_2F973526EF94_.wvu.PrintArea" localSheetId="2" hidden="1">'2603월'!$A$1:$AY$39</definedName>
    <definedName name="Z_90213D72_5851_41E3_AAC3_2F973526EF94_.wvu.PrintArea" localSheetId="3" hidden="1">'2604월'!$A$1:$AY$38</definedName>
    <definedName name="Z_90213D72_5851_41E3_AAC3_2F973526EF94_.wvu.PrintArea" localSheetId="4" hidden="1">'2605월'!$A$1:$AY$39</definedName>
    <definedName name="Z_90213D72_5851_41E3_AAC3_2F973526EF94_.wvu.PrintArea" localSheetId="5" hidden="1">'2606월'!$A$1:$AY$38</definedName>
    <definedName name="Z_915409BF_330E_4EB4_B0D8_B48C72ED49EA_.wvu.PrintArea" localSheetId="6" hidden="1">'2024년 전체'!$A$1:$BN$20</definedName>
    <definedName name="Z_915409BF_330E_4EB4_B0D8_B48C72ED49EA_.wvu.PrintArea" localSheetId="7" hidden="1">'2025년 전체'!$A$1:$BN$20</definedName>
    <definedName name="Z_915409BF_330E_4EB4_B0D8_B48C72ED49EA_.wvu.PrintArea" localSheetId="8" hidden="1">'2026년 전체'!$A$1:$AY$20</definedName>
    <definedName name="Z_915409BF_330E_4EB4_B0D8_B48C72ED49EA_.wvu.PrintArea" localSheetId="0" hidden="1">'2601월'!$A$1:$AY$39</definedName>
    <definedName name="Z_915409BF_330E_4EB4_B0D8_B48C72ED49EA_.wvu.PrintArea" localSheetId="1" hidden="1">'2602월'!$A$1:$AY$36</definedName>
    <definedName name="Z_915409BF_330E_4EB4_B0D8_B48C72ED49EA_.wvu.PrintArea" localSheetId="2" hidden="1">'2603월'!$A$1:$AY$39</definedName>
    <definedName name="Z_915409BF_330E_4EB4_B0D8_B48C72ED49EA_.wvu.PrintArea" localSheetId="3" hidden="1">'2604월'!$A$1:$AY$38</definedName>
    <definedName name="Z_915409BF_330E_4EB4_B0D8_B48C72ED49EA_.wvu.PrintArea" localSheetId="4" hidden="1">'2605월'!$A$1:$AY$39</definedName>
    <definedName name="Z_915409BF_330E_4EB4_B0D8_B48C72ED49EA_.wvu.PrintArea" localSheetId="5" hidden="1">'2606월'!$A$1:$AY$38</definedName>
    <definedName name="Z_9180F05F_C88A_41EA_B0B1_07DD5C07AAAD_.wvu.PrintArea" localSheetId="6" hidden="1">'2024년 전체'!$A$1:$BR$20</definedName>
    <definedName name="Z_9180F05F_C88A_41EA_B0B1_07DD5C07AAAD_.wvu.PrintArea" localSheetId="7" hidden="1">'2025년 전체'!$A$1:$BR$20</definedName>
    <definedName name="Z_9180F05F_C88A_41EA_B0B1_07DD5C07AAAD_.wvu.PrintArea" localSheetId="8" hidden="1">'2026년 전체'!$A$1:$BC$20</definedName>
    <definedName name="Z_9180F05F_C88A_41EA_B0B1_07DD5C07AAAD_.wvu.PrintArea" localSheetId="0" hidden="1">'2601월'!$A$1:$BC$39</definedName>
    <definedName name="Z_9180F05F_C88A_41EA_B0B1_07DD5C07AAAD_.wvu.PrintArea" localSheetId="1" hidden="1">'2602월'!$A$1:$BC$36</definedName>
    <definedName name="Z_9180F05F_C88A_41EA_B0B1_07DD5C07AAAD_.wvu.PrintArea" localSheetId="2" hidden="1">'2603월'!$A$1:$BC$39</definedName>
    <definedName name="Z_9180F05F_C88A_41EA_B0B1_07DD5C07AAAD_.wvu.PrintArea" localSheetId="3" hidden="1">'2604월'!$A$1:$BC$38</definedName>
    <definedName name="Z_9180F05F_C88A_41EA_B0B1_07DD5C07AAAD_.wvu.PrintArea" localSheetId="4" hidden="1">'2605월'!$A$1:$BC$39</definedName>
    <definedName name="Z_9180F05F_C88A_41EA_B0B1_07DD5C07AAAD_.wvu.PrintArea" localSheetId="5" hidden="1">'2606월'!$A$1:$BC$38</definedName>
    <definedName name="Z_91BF3DE4_78A5_4FB0_9F5E_4ABE4CD873CF_.wvu.Cols" localSheetId="2" hidden="1">'2603월'!$F:$F,'2603월'!$H:$O,'2603월'!$T:$T,'2603월'!$V:$AC,'2603월'!$AH:$AO,'2603월'!$AV:$AW,'2603월'!$AZ:$BE</definedName>
    <definedName name="Z_91BF3DE4_78A5_4FB0_9F5E_4ABE4CD873CF_.wvu.PrintArea" localSheetId="2" hidden="1">'2603월'!$A$1:$AY$39</definedName>
    <definedName name="Z_92DE7E81_188B_400C_BE95_FD63ABDF8569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92DE7E81_188B_400C_BE95_FD63ABDF8569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92DE7E81_188B_400C_BE95_FD63ABDF8569_.wvu.Cols" localSheetId="0" hidden="1">'2601월'!$F:$F,'2601월'!$H:$O,'2601월'!$T:$T,'2601월'!$V:$AC,'2601월'!$AH:$AO,'2601월'!$AV:$AW,'2601월'!$AZ:$BE</definedName>
    <definedName name="Z_92DE7E81_188B_400C_BE95_FD63ABDF8569_.wvu.Cols" localSheetId="3" hidden="1">'2604월'!$F:$F,'2604월'!$H:$O,'2604월'!$T:$T,'2604월'!$V:$AC,'2604월'!$AH:$AO,'2604월'!$AV:$AW,'2604월'!$AZ:$BE</definedName>
    <definedName name="Z_92DE7E81_188B_400C_BE95_FD63ABDF8569_.wvu.Cols" localSheetId="4" hidden="1">'2605월'!$F:$F,'2605월'!$H:$O,'2605월'!$T:$T,'2605월'!$V:$AC,'2605월'!$AH:$AO,'2605월'!$AV:$AW,'2605월'!$AZ:$BE</definedName>
    <definedName name="Z_92DE7E81_188B_400C_BE95_FD63ABDF8569_.wvu.Cols" localSheetId="5" hidden="1">'2606월'!$F:$F,'2606월'!$H:$O,'2606월'!$T:$T,'2606월'!$V:$AC,'2606월'!$AH:$AO,'2606월'!$AV:$AW,'2606월'!$AZ:$BE</definedName>
    <definedName name="Z_92DE7E81_188B_400C_BE95_FD63ABDF8569_.wvu.PrintArea" localSheetId="6" hidden="1">'2024년 전체'!$A$1:$BN$20</definedName>
    <definedName name="Z_92DE7E81_188B_400C_BE95_FD63ABDF8569_.wvu.PrintArea" localSheetId="7" hidden="1">'2025년 전체'!$A$1:$BN$20</definedName>
    <definedName name="Z_92DE7E81_188B_400C_BE95_FD63ABDF8569_.wvu.PrintArea" localSheetId="8" hidden="1">'2026년 전체'!$A$1:$AY$20</definedName>
    <definedName name="Z_92DE7E81_188B_400C_BE95_FD63ABDF8569_.wvu.PrintArea" localSheetId="0" hidden="1">'2601월'!$A$1:$AY$39</definedName>
    <definedName name="Z_92DE7E81_188B_400C_BE95_FD63ABDF8569_.wvu.PrintArea" localSheetId="1" hidden="1">'2602월'!$A$1:$AY$36</definedName>
    <definedName name="Z_92DE7E81_188B_400C_BE95_FD63ABDF8569_.wvu.PrintArea" localSheetId="2" hidden="1">'2603월'!$A$1:$AY$39</definedName>
    <definedName name="Z_92DE7E81_188B_400C_BE95_FD63ABDF8569_.wvu.PrintArea" localSheetId="3" hidden="1">'2604월'!$A$1:$AY$38</definedName>
    <definedName name="Z_92DE7E81_188B_400C_BE95_FD63ABDF8569_.wvu.PrintArea" localSheetId="4" hidden="1">'2605월'!$A$1:$AY$39</definedName>
    <definedName name="Z_92DE7E81_188B_400C_BE95_FD63ABDF8569_.wvu.PrintArea" localSheetId="5" hidden="1">'2606월'!$A$1:$AY$38</definedName>
    <definedName name="Z_933F2E67_9143_4DB2_A130_6BA268444889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933F2E67_9143_4DB2_A130_6BA268444889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933F2E67_9143_4DB2_A130_6BA268444889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933F2E67_9143_4DB2_A130_6BA268444889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933F2E67_9143_4DB2_A130_6BA268444889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933F2E67_9143_4DB2_A130_6BA268444889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933F2E67_9143_4DB2_A130_6BA268444889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933F2E67_9143_4DB2_A130_6BA268444889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933F2E67_9143_4DB2_A130_6BA268444889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933F2E67_9143_4DB2_A130_6BA268444889_.wvu.PrintArea" localSheetId="6" hidden="1">'2024년 전체'!$A$1:$BN$20</definedName>
    <definedName name="Z_933F2E67_9143_4DB2_A130_6BA268444889_.wvu.PrintArea" localSheetId="7" hidden="1">'2025년 전체'!$A$1:$BN$20</definedName>
    <definedName name="Z_933F2E67_9143_4DB2_A130_6BA268444889_.wvu.PrintArea" localSheetId="8" hidden="1">'2026년 전체'!$A$1:$AY$20</definedName>
    <definedName name="Z_933F2E67_9143_4DB2_A130_6BA268444889_.wvu.PrintArea" localSheetId="0" hidden="1">'2601월'!$A$1:$AY$39</definedName>
    <definedName name="Z_933F2E67_9143_4DB2_A130_6BA268444889_.wvu.PrintArea" localSheetId="1" hidden="1">'2602월'!$A$1:$AY$36</definedName>
    <definedName name="Z_933F2E67_9143_4DB2_A130_6BA268444889_.wvu.PrintArea" localSheetId="2" hidden="1">'2603월'!$A$1:$AY$39</definedName>
    <definedName name="Z_933F2E67_9143_4DB2_A130_6BA268444889_.wvu.PrintArea" localSheetId="3" hidden="1">'2604월'!$A$1:$AY$38</definedName>
    <definedName name="Z_933F2E67_9143_4DB2_A130_6BA268444889_.wvu.PrintArea" localSheetId="4" hidden="1">'2605월'!$A$1:$AY$39</definedName>
    <definedName name="Z_933F2E67_9143_4DB2_A130_6BA268444889_.wvu.PrintArea" localSheetId="5" hidden="1">'2606월'!$A$1:$AY$38</definedName>
    <definedName name="Z_94387C6A_02EA_4D32_BB76_9AA4034FBCF5_.wvu.PrintArea" localSheetId="6" hidden="1">'2024년 전체'!$A$1:$BN$20</definedName>
    <definedName name="Z_94387C6A_02EA_4D32_BB76_9AA4034FBCF5_.wvu.PrintArea" localSheetId="7" hidden="1">'2025년 전체'!$A$1:$BN$20</definedName>
    <definedName name="Z_94387C6A_02EA_4D32_BB76_9AA4034FBCF5_.wvu.PrintArea" localSheetId="8" hidden="1">'2026년 전체'!$A$1:$AY$20</definedName>
    <definedName name="Z_94387C6A_02EA_4D32_BB76_9AA4034FBCF5_.wvu.PrintArea" localSheetId="0" hidden="1">'2601월'!$A$1:$AY$39</definedName>
    <definedName name="Z_94387C6A_02EA_4D32_BB76_9AA4034FBCF5_.wvu.PrintArea" localSheetId="1" hidden="1">'2602월'!$A$1:$AY$36</definedName>
    <definedName name="Z_94387C6A_02EA_4D32_BB76_9AA4034FBCF5_.wvu.PrintArea" localSheetId="2" hidden="1">'2603월'!$A$1:$AY$39</definedName>
    <definedName name="Z_94387C6A_02EA_4D32_BB76_9AA4034FBCF5_.wvu.PrintArea" localSheetId="3" hidden="1">'2604월'!$A$1:$AY$38</definedName>
    <definedName name="Z_94387C6A_02EA_4D32_BB76_9AA4034FBCF5_.wvu.PrintArea" localSheetId="4" hidden="1">'2605월'!$A$1:$AY$39</definedName>
    <definedName name="Z_94387C6A_02EA_4D32_BB76_9AA4034FBCF5_.wvu.PrintArea" localSheetId="5" hidden="1">'2606월'!$A$1:$AY$38</definedName>
    <definedName name="Z_94DE114A_9D30_4621_8F58_C9E88D87E6B9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94DE114A_9D30_4621_8F58_C9E88D87E6B9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94DE114A_9D30_4621_8F58_C9E88D87E6B9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94DE114A_9D30_4621_8F58_C9E88D87E6B9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94DE114A_9D30_4621_8F58_C9E88D87E6B9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94DE114A_9D30_4621_8F58_C9E88D87E6B9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94DE114A_9D30_4621_8F58_C9E88D87E6B9_.wvu.PrintArea" localSheetId="6" hidden="1">'2024년 전체'!$A$1:$BN$20</definedName>
    <definedName name="Z_94DE114A_9D30_4621_8F58_C9E88D87E6B9_.wvu.PrintArea" localSheetId="7" hidden="1">'2025년 전체'!$A$1:$BN$20</definedName>
    <definedName name="Z_94DE114A_9D30_4621_8F58_C9E88D87E6B9_.wvu.PrintArea" localSheetId="8" hidden="1">'2026년 전체'!$A$1:$AY$20</definedName>
    <definedName name="Z_94DE114A_9D30_4621_8F58_C9E88D87E6B9_.wvu.PrintArea" localSheetId="0" hidden="1">'2601월'!$A$1:$AY$39</definedName>
    <definedName name="Z_94DE114A_9D30_4621_8F58_C9E88D87E6B9_.wvu.PrintArea" localSheetId="1" hidden="1">'2602월'!$A$1:$AY$36</definedName>
    <definedName name="Z_94DE114A_9D30_4621_8F58_C9E88D87E6B9_.wvu.PrintArea" localSheetId="2" hidden="1">'2603월'!$A$1:$AY$39</definedName>
    <definedName name="Z_94DE114A_9D30_4621_8F58_C9E88D87E6B9_.wvu.PrintArea" localSheetId="3" hidden="1">'2604월'!$A$1:$AY$38</definedName>
    <definedName name="Z_94DE114A_9D30_4621_8F58_C9E88D87E6B9_.wvu.PrintArea" localSheetId="4" hidden="1">'2605월'!$A$1:$AY$39</definedName>
    <definedName name="Z_94DE114A_9D30_4621_8F58_C9E88D87E6B9_.wvu.PrintArea" localSheetId="5" hidden="1">'2606월'!$A$1:$AY$38</definedName>
    <definedName name="Z_96369D43_D9F6_4454_BF36_FE93D7625EDD_.wvu.PrintArea" localSheetId="6" hidden="1">'2024년 전체'!$A$1:$BN$20</definedName>
    <definedName name="Z_96369D43_D9F6_4454_BF36_FE93D7625EDD_.wvu.PrintArea" localSheetId="7" hidden="1">'2025년 전체'!$A$1:$BN$20</definedName>
    <definedName name="Z_96369D43_D9F6_4454_BF36_FE93D7625EDD_.wvu.PrintArea" localSheetId="8" hidden="1">'2026년 전체'!$A$1:$AY$20</definedName>
    <definedName name="Z_96369D43_D9F6_4454_BF36_FE93D7625EDD_.wvu.PrintArea" localSheetId="0" hidden="1">'2601월'!$A$1:$AY$39</definedName>
    <definedName name="Z_96369D43_D9F6_4454_BF36_FE93D7625EDD_.wvu.PrintArea" localSheetId="1" hidden="1">'2602월'!$A$1:$AY$36</definedName>
    <definedName name="Z_96369D43_D9F6_4454_BF36_FE93D7625EDD_.wvu.PrintArea" localSheetId="2" hidden="1">'2603월'!$A$1:$AY$39</definedName>
    <definedName name="Z_96369D43_D9F6_4454_BF36_FE93D7625EDD_.wvu.PrintArea" localSheetId="3" hidden="1">'2604월'!$A$1:$AY$38</definedName>
    <definedName name="Z_96369D43_D9F6_4454_BF36_FE93D7625EDD_.wvu.PrintArea" localSheetId="4" hidden="1">'2605월'!$A$1:$AY$39</definedName>
    <definedName name="Z_96369D43_D9F6_4454_BF36_FE93D7625EDD_.wvu.PrintArea" localSheetId="5" hidden="1">'2606월'!$A$1:$AY$38</definedName>
    <definedName name="Z_97229E27_F3BA_45A0_B452_701C78B8593D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97229E27_F3BA_45A0_B452_701C78B8593D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97229E27_F3BA_45A0_B452_701C78B8593D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97229E27_F3BA_45A0_B452_701C78B8593D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97229E27_F3BA_45A0_B452_701C78B8593D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97229E27_F3BA_45A0_B452_701C78B8593D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97229E27_F3BA_45A0_B452_701C78B8593D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97229E27_F3BA_45A0_B452_701C78B8593D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97229E27_F3BA_45A0_B452_701C78B8593D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97229E27_F3BA_45A0_B452_701C78B8593D_.wvu.PrintArea" localSheetId="6" hidden="1">'2024년 전체'!$A$1:$BR$20</definedName>
    <definedName name="Z_97229E27_F3BA_45A0_B452_701C78B8593D_.wvu.PrintArea" localSheetId="7" hidden="1">'2025년 전체'!$A$1:$BR$20</definedName>
    <definedName name="Z_97229E27_F3BA_45A0_B452_701C78B8593D_.wvu.PrintArea" localSheetId="8" hidden="1">'2026년 전체'!$A$1:$BC$20</definedName>
    <definedName name="Z_97229E27_F3BA_45A0_B452_701C78B8593D_.wvu.PrintArea" localSheetId="0" hidden="1">'2601월'!$A$1:$BC$39</definedName>
    <definedName name="Z_97229E27_F3BA_45A0_B452_701C78B8593D_.wvu.PrintArea" localSheetId="1" hidden="1">'2602월'!$A$1:$BC$36</definedName>
    <definedName name="Z_97229E27_F3BA_45A0_B452_701C78B8593D_.wvu.PrintArea" localSheetId="2" hidden="1">'2603월'!$A$1:$BC$39</definedName>
    <definedName name="Z_97229E27_F3BA_45A0_B452_701C78B8593D_.wvu.PrintArea" localSheetId="3" hidden="1">'2604월'!$A$1:$BC$38</definedName>
    <definedName name="Z_97229E27_F3BA_45A0_B452_701C78B8593D_.wvu.PrintArea" localSheetId="4" hidden="1">'2605월'!$A$1:$BC$39</definedName>
    <definedName name="Z_97229E27_F3BA_45A0_B452_701C78B8593D_.wvu.PrintArea" localSheetId="5" hidden="1">'2606월'!$A$1:$BC$38</definedName>
    <definedName name="Z_98D7E759_82AF_4B0D_9D1C_249FFE1D439A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98D7E759_82AF_4B0D_9D1C_249FFE1D439A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98D7E759_82AF_4B0D_9D1C_249FFE1D439A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98D7E759_82AF_4B0D_9D1C_249FFE1D439A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98D7E759_82AF_4B0D_9D1C_249FFE1D439A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98D7E759_82AF_4B0D_9D1C_249FFE1D439A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98D7E759_82AF_4B0D_9D1C_249FFE1D439A_.wvu.PrintArea" localSheetId="6" hidden="1">'2024년 전체'!$A$1:$BN$20</definedName>
    <definedName name="Z_98D7E759_82AF_4B0D_9D1C_249FFE1D439A_.wvu.PrintArea" localSheetId="7" hidden="1">'2025년 전체'!$A$1:$BN$20</definedName>
    <definedName name="Z_98D7E759_82AF_4B0D_9D1C_249FFE1D439A_.wvu.PrintArea" localSheetId="8" hidden="1">'2026년 전체'!$A$1:$AY$20</definedName>
    <definedName name="Z_98D7E759_82AF_4B0D_9D1C_249FFE1D439A_.wvu.PrintArea" localSheetId="0" hidden="1">'2601월'!$A$1:$AY$39</definedName>
    <definedName name="Z_98D7E759_82AF_4B0D_9D1C_249FFE1D439A_.wvu.PrintArea" localSheetId="1" hidden="1">'2602월'!$A$1:$AY$36</definedName>
    <definedName name="Z_98D7E759_82AF_4B0D_9D1C_249FFE1D439A_.wvu.PrintArea" localSheetId="2" hidden="1">'2603월'!$A$1:$AY$39</definedName>
    <definedName name="Z_98D7E759_82AF_4B0D_9D1C_249FFE1D439A_.wvu.PrintArea" localSheetId="3" hidden="1">'2604월'!$A$1:$AY$38</definedName>
    <definedName name="Z_98D7E759_82AF_4B0D_9D1C_249FFE1D439A_.wvu.PrintArea" localSheetId="4" hidden="1">'2605월'!$A$1:$AY$39</definedName>
    <definedName name="Z_98D7E759_82AF_4B0D_9D1C_249FFE1D439A_.wvu.PrintArea" localSheetId="5" hidden="1">'2606월'!$A$1:$AY$38</definedName>
    <definedName name="Z_9BB4C970_789A_4930_BD1B_C32D027CE91D_.wvu.PrintArea" localSheetId="6" hidden="1">'2024년 전체'!$A$1:$BN$20</definedName>
    <definedName name="Z_9BB4C970_789A_4930_BD1B_C32D027CE91D_.wvu.PrintArea" localSheetId="7" hidden="1">'2025년 전체'!$A$1:$BN$20</definedName>
    <definedName name="Z_9BB4C970_789A_4930_BD1B_C32D027CE91D_.wvu.PrintArea" localSheetId="8" hidden="1">'2026년 전체'!$A$1:$AY$20</definedName>
    <definedName name="Z_9BB4C970_789A_4930_BD1B_C32D027CE91D_.wvu.PrintArea" localSheetId="0" hidden="1">'2601월'!$A$1:$AY$39</definedName>
    <definedName name="Z_9BB4C970_789A_4930_BD1B_C32D027CE91D_.wvu.PrintArea" localSheetId="1" hidden="1">'2602월'!$A$1:$AY$36</definedName>
    <definedName name="Z_9BB4C970_789A_4930_BD1B_C32D027CE91D_.wvu.PrintArea" localSheetId="2" hidden="1">'2603월'!$A$1:$AY$39</definedName>
    <definedName name="Z_9BB4C970_789A_4930_BD1B_C32D027CE91D_.wvu.PrintArea" localSheetId="3" hidden="1">'2604월'!$A$1:$AY$38</definedName>
    <definedName name="Z_9BB4C970_789A_4930_BD1B_C32D027CE91D_.wvu.PrintArea" localSheetId="4" hidden="1">'2605월'!$A$1:$AY$39</definedName>
    <definedName name="Z_9BB4C970_789A_4930_BD1B_C32D027CE91D_.wvu.PrintArea" localSheetId="5" hidden="1">'2606월'!$A$1:$AY$38</definedName>
    <definedName name="Z_9E08F554_A02C_474D_A812_F4E7D32A8BBC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9E08F554_A02C_474D_A812_F4E7D32A8BBC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9E08F554_A02C_474D_A812_F4E7D32A8BBC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9E08F554_A02C_474D_A812_F4E7D32A8BBC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9E08F554_A02C_474D_A812_F4E7D32A8BBC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9E08F554_A02C_474D_A812_F4E7D32A8BBC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9E08F554_A02C_474D_A812_F4E7D32A8BBC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9E08F554_A02C_474D_A812_F4E7D32A8BBC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9E08F554_A02C_474D_A812_F4E7D32A8BBC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9E08F554_A02C_474D_A812_F4E7D32A8BBC_.wvu.PrintArea" localSheetId="6" hidden="1">'2024년 전체'!$A$1:$BN$20</definedName>
    <definedName name="Z_9E08F554_A02C_474D_A812_F4E7D32A8BBC_.wvu.PrintArea" localSheetId="7" hidden="1">'2025년 전체'!$A$1:$BN$20</definedName>
    <definedName name="Z_9E08F554_A02C_474D_A812_F4E7D32A8BBC_.wvu.PrintArea" localSheetId="8" hidden="1">'2026년 전체'!$A$1:$AY$20</definedName>
    <definedName name="Z_9E08F554_A02C_474D_A812_F4E7D32A8BBC_.wvu.PrintArea" localSheetId="0" hidden="1">'2601월'!$A$1:$AY$39</definedName>
    <definedName name="Z_9E08F554_A02C_474D_A812_F4E7D32A8BBC_.wvu.PrintArea" localSheetId="1" hidden="1">'2602월'!$A$1:$AY$36</definedName>
    <definedName name="Z_9E08F554_A02C_474D_A812_F4E7D32A8BBC_.wvu.PrintArea" localSheetId="2" hidden="1">'2603월'!$A$1:$AY$39</definedName>
    <definedName name="Z_9E08F554_A02C_474D_A812_F4E7D32A8BBC_.wvu.PrintArea" localSheetId="3" hidden="1">'2604월'!$A$1:$AY$38</definedName>
    <definedName name="Z_9E08F554_A02C_474D_A812_F4E7D32A8BBC_.wvu.PrintArea" localSheetId="4" hidden="1">'2605월'!$A$1:$AY$39</definedName>
    <definedName name="Z_9E08F554_A02C_474D_A812_F4E7D32A8BBC_.wvu.PrintArea" localSheetId="5" hidden="1">'2606월'!$A$1:$AY$38</definedName>
    <definedName name="Z_9E570779_DF75_42E8_B8CF_6EAE7E599B9A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9E570779_DF75_42E8_B8CF_6EAE7E599B9A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9E570779_DF75_42E8_B8CF_6EAE7E599B9A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9E570779_DF75_42E8_B8CF_6EAE7E599B9A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9E570779_DF75_42E8_B8CF_6EAE7E599B9A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9E570779_DF75_42E8_B8CF_6EAE7E599B9A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9E570779_DF75_42E8_B8CF_6EAE7E599B9A_.wvu.PrintArea" localSheetId="6" hidden="1">'2024년 전체'!$A$1:$BN$20</definedName>
    <definedName name="Z_9E570779_DF75_42E8_B8CF_6EAE7E599B9A_.wvu.PrintArea" localSheetId="7" hidden="1">'2025년 전체'!$A$1:$BN$20</definedName>
    <definedName name="Z_9E570779_DF75_42E8_B8CF_6EAE7E599B9A_.wvu.PrintArea" localSheetId="8" hidden="1">'2026년 전체'!$A$1:$AY$20</definedName>
    <definedName name="Z_9E570779_DF75_42E8_B8CF_6EAE7E599B9A_.wvu.PrintArea" localSheetId="0" hidden="1">'2601월'!$A$1:$AY$39</definedName>
    <definedName name="Z_9E570779_DF75_42E8_B8CF_6EAE7E599B9A_.wvu.PrintArea" localSheetId="1" hidden="1">'2602월'!$A$1:$AY$36</definedName>
    <definedName name="Z_9E570779_DF75_42E8_B8CF_6EAE7E599B9A_.wvu.PrintArea" localSheetId="2" hidden="1">'2603월'!$A$1:$AY$39</definedName>
    <definedName name="Z_9E570779_DF75_42E8_B8CF_6EAE7E599B9A_.wvu.PrintArea" localSheetId="3" hidden="1">'2604월'!$A$1:$AY$38</definedName>
    <definedName name="Z_9E570779_DF75_42E8_B8CF_6EAE7E599B9A_.wvu.PrintArea" localSheetId="4" hidden="1">'2605월'!$A$1:$AY$39</definedName>
    <definedName name="Z_9E570779_DF75_42E8_B8CF_6EAE7E599B9A_.wvu.PrintArea" localSheetId="5" hidden="1">'2606월'!$A$1:$AY$38</definedName>
    <definedName name="Z_9E72C8A2_D7CC_4D25_A046_8AA831C26CE8_.wvu.PrintArea" localSheetId="6" hidden="1">'2024년 전체'!$A$1:$BN$20</definedName>
    <definedName name="Z_9E72C8A2_D7CC_4D25_A046_8AA831C26CE8_.wvu.PrintArea" localSheetId="7" hidden="1">'2025년 전체'!$A$1:$BN$20</definedName>
    <definedName name="Z_9E72C8A2_D7CC_4D25_A046_8AA831C26CE8_.wvu.PrintArea" localSheetId="8" hidden="1">'2026년 전체'!$A$1:$AY$20</definedName>
    <definedName name="Z_9F0BD65D_96C8_4B75_94F5_CECD2A26577C_.wvu.PrintArea" localSheetId="6" hidden="1">'2024년 전체'!$A$1:$BR$20</definedName>
    <definedName name="Z_9F0BD65D_96C8_4B75_94F5_CECD2A26577C_.wvu.PrintArea" localSheetId="7" hidden="1">'2025년 전체'!$A$1:$BR$20</definedName>
    <definedName name="Z_9F0BD65D_96C8_4B75_94F5_CECD2A26577C_.wvu.PrintArea" localSheetId="8" hidden="1">'2026년 전체'!$A$1:$BC$20</definedName>
    <definedName name="Z_9F0BD65D_96C8_4B75_94F5_CECD2A26577C_.wvu.PrintArea" localSheetId="0" hidden="1">'2601월'!$A$1:$BC$39</definedName>
    <definedName name="Z_9F0BD65D_96C8_4B75_94F5_CECD2A26577C_.wvu.PrintArea" localSheetId="1" hidden="1">'2602월'!$A$1:$BC$36</definedName>
    <definedName name="Z_9F0BD65D_96C8_4B75_94F5_CECD2A26577C_.wvu.PrintArea" localSheetId="2" hidden="1">'2603월'!$A$1:$BC$39</definedName>
    <definedName name="Z_9F0BD65D_96C8_4B75_94F5_CECD2A26577C_.wvu.PrintArea" localSheetId="3" hidden="1">'2604월'!$A$1:$BC$38</definedName>
    <definedName name="Z_9F0BD65D_96C8_4B75_94F5_CECD2A26577C_.wvu.PrintArea" localSheetId="4" hidden="1">'2605월'!$A$1:$BC$39</definedName>
    <definedName name="Z_9F0BD65D_96C8_4B75_94F5_CECD2A26577C_.wvu.PrintArea" localSheetId="5" hidden="1">'2606월'!$A$1:$BC$38</definedName>
    <definedName name="Z_9FEA4E08_1450_408A_8D2B_783A12AE628C_.wvu.PrintArea" localSheetId="6" hidden="1">'2024년 전체'!$A$1:$BN$20</definedName>
    <definedName name="Z_9FEA4E08_1450_408A_8D2B_783A12AE628C_.wvu.PrintArea" localSheetId="7" hidden="1">'2025년 전체'!$A$1:$BN$20</definedName>
    <definedName name="Z_9FEA4E08_1450_408A_8D2B_783A12AE628C_.wvu.PrintArea" localSheetId="8" hidden="1">'2026년 전체'!$A$1:$AY$20</definedName>
    <definedName name="Z_A1B32FEB_753D_43C7_9AFE_E63D074E4D8A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A1B32FEB_753D_43C7_9AFE_E63D074E4D8A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A1B32FEB_753D_43C7_9AFE_E63D074E4D8A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A1B32FEB_753D_43C7_9AFE_E63D074E4D8A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A1B32FEB_753D_43C7_9AFE_E63D074E4D8A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A1B32FEB_753D_43C7_9AFE_E63D074E4D8A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A1B32FEB_753D_43C7_9AFE_E63D074E4D8A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A1B32FEB_753D_43C7_9AFE_E63D074E4D8A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A1B32FEB_753D_43C7_9AFE_E63D074E4D8A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A1B32FEB_753D_43C7_9AFE_E63D074E4D8A_.wvu.PrintArea" localSheetId="6" hidden="1">'2024년 전체'!$A$1:$BN$20</definedName>
    <definedName name="Z_A1B32FEB_753D_43C7_9AFE_E63D074E4D8A_.wvu.PrintArea" localSheetId="7" hidden="1">'2025년 전체'!$A$1:$BN$20</definedName>
    <definedName name="Z_A1B32FEB_753D_43C7_9AFE_E63D074E4D8A_.wvu.PrintArea" localSheetId="8" hidden="1">'2026년 전체'!$A$1:$AY$20</definedName>
    <definedName name="Z_A1B32FEB_753D_43C7_9AFE_E63D074E4D8A_.wvu.PrintArea" localSheetId="0" hidden="1">'2601월'!$A$1:$AY$39</definedName>
    <definedName name="Z_A1B32FEB_753D_43C7_9AFE_E63D074E4D8A_.wvu.PrintArea" localSheetId="1" hidden="1">'2602월'!$A$1:$AY$36</definedName>
    <definedName name="Z_A1B32FEB_753D_43C7_9AFE_E63D074E4D8A_.wvu.PrintArea" localSheetId="2" hidden="1">'2603월'!$A$1:$AY$39</definedName>
    <definedName name="Z_A1B32FEB_753D_43C7_9AFE_E63D074E4D8A_.wvu.PrintArea" localSheetId="3" hidden="1">'2604월'!$A$1:$AY$38</definedName>
    <definedName name="Z_A1B32FEB_753D_43C7_9AFE_E63D074E4D8A_.wvu.PrintArea" localSheetId="4" hidden="1">'2605월'!$A$1:$AY$39</definedName>
    <definedName name="Z_A1B32FEB_753D_43C7_9AFE_E63D074E4D8A_.wvu.PrintArea" localSheetId="5" hidden="1">'2606월'!$A$1:$AY$38</definedName>
    <definedName name="Z_A4746F86_270C_49F3_80CC_40F07775E69C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A4746F86_270C_49F3_80CC_40F07775E69C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A4746F86_270C_49F3_80CC_40F07775E69C_.wvu.Cols" localSheetId="0" hidden="1">'2601월'!$F:$F,'2601월'!$H:$O,'2601월'!$T:$T,'2601월'!$V:$AC,'2601월'!$AH:$AO,'2601월'!$AV:$AW,'2601월'!$AZ:$BE</definedName>
    <definedName name="Z_A4746F86_270C_49F3_80CC_40F07775E69C_.wvu.Cols" localSheetId="3" hidden="1">'2604월'!$F:$F,'2604월'!$H:$O,'2604월'!$T:$T,'2604월'!$V:$AC,'2604월'!$AH:$AO,'2604월'!$AV:$AW,'2604월'!$AZ:$BE</definedName>
    <definedName name="Z_A4746F86_270C_49F3_80CC_40F07775E69C_.wvu.Cols" localSheetId="5" hidden="1">'2606월'!$F:$F,'2606월'!$H:$O,'2606월'!$T:$T,'2606월'!$V:$AC,'2606월'!$AH:$AO,'2606월'!$AV:$AW,'2606월'!$AZ:$BE</definedName>
    <definedName name="Z_A4746F86_270C_49F3_80CC_40F07775E69C_.wvu.PrintArea" localSheetId="6" hidden="1">'2024년 전체'!$A$1:$BN$20</definedName>
    <definedName name="Z_A4746F86_270C_49F3_80CC_40F07775E69C_.wvu.PrintArea" localSheetId="7" hidden="1">'2025년 전체'!$A$1:$BN$20</definedName>
    <definedName name="Z_A4746F86_270C_49F3_80CC_40F07775E69C_.wvu.PrintArea" localSheetId="8" hidden="1">'2026년 전체'!$A$1:$AY$20</definedName>
    <definedName name="Z_A4746F86_270C_49F3_80CC_40F07775E69C_.wvu.PrintArea" localSheetId="0" hidden="1">'2601월'!$A$1:$AY$39</definedName>
    <definedName name="Z_A4746F86_270C_49F3_80CC_40F07775E69C_.wvu.PrintArea" localSheetId="1" hidden="1">'2602월'!$A$1:$AY$36</definedName>
    <definedName name="Z_A4746F86_270C_49F3_80CC_40F07775E69C_.wvu.PrintArea" localSheetId="2" hidden="1">'2603월'!$A$1:$AY$39</definedName>
    <definedName name="Z_A4746F86_270C_49F3_80CC_40F07775E69C_.wvu.PrintArea" localSheetId="3" hidden="1">'2604월'!$A$1:$AY$38</definedName>
    <definedName name="Z_A4746F86_270C_49F3_80CC_40F07775E69C_.wvu.PrintArea" localSheetId="4" hidden="1">'2605월'!$A$1:$AY$39</definedName>
    <definedName name="Z_A4746F86_270C_49F3_80CC_40F07775E69C_.wvu.PrintArea" localSheetId="5" hidden="1">'2606월'!$A$1:$AY$38</definedName>
    <definedName name="Z_AA106185_F4DC_4903_A220_DDB3138E2F7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AA106185_F4DC_4903_A220_DDB3138E2F7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AA106185_F4DC_4903_A220_DDB3138E2F7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AA106185_F4DC_4903_A220_DDB3138E2F7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AA106185_F4DC_4903_A220_DDB3138E2F7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AA106185_F4DC_4903_A220_DDB3138E2F7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AA106185_F4DC_4903_A220_DDB3138E2F7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AA106185_F4DC_4903_A220_DDB3138E2F7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AA106185_F4DC_4903_A220_DDB3138E2F7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AA106185_F4DC_4903_A220_DDB3138E2F76_.wvu.PrintArea" localSheetId="6" hidden="1">'2024년 전체'!$A$1:$BN$20</definedName>
    <definedName name="Z_AA106185_F4DC_4903_A220_DDB3138E2F76_.wvu.PrintArea" localSheetId="7" hidden="1">'2025년 전체'!$A$1:$BN$20</definedName>
    <definedName name="Z_AA106185_F4DC_4903_A220_DDB3138E2F76_.wvu.PrintArea" localSheetId="8" hidden="1">'2026년 전체'!$A$1:$AY$20</definedName>
    <definedName name="Z_AA106185_F4DC_4903_A220_DDB3138E2F76_.wvu.PrintArea" localSheetId="0" hidden="1">'2601월'!$A$1:$AY$39</definedName>
    <definedName name="Z_AA106185_F4DC_4903_A220_DDB3138E2F76_.wvu.PrintArea" localSheetId="1" hidden="1">'2602월'!$A$1:$AY$36</definedName>
    <definedName name="Z_AA106185_F4DC_4903_A220_DDB3138E2F76_.wvu.PrintArea" localSheetId="2" hidden="1">'2603월'!$A$1:$AY$39</definedName>
    <definedName name="Z_AA106185_F4DC_4903_A220_DDB3138E2F76_.wvu.PrintArea" localSheetId="3" hidden="1">'2604월'!$A$1:$AY$38</definedName>
    <definedName name="Z_AA106185_F4DC_4903_A220_DDB3138E2F76_.wvu.PrintArea" localSheetId="4" hidden="1">'2605월'!$A$1:$AY$39</definedName>
    <definedName name="Z_AA106185_F4DC_4903_A220_DDB3138E2F76_.wvu.PrintArea" localSheetId="5" hidden="1">'2606월'!$A$1:$AY$38</definedName>
    <definedName name="Z_AA2554F6_4FC1_4D52_8050_A448AB49ED67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AA2554F6_4FC1_4D52_8050_A448AB49ED67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AA2554F6_4FC1_4D52_8050_A448AB49ED67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AA2554F6_4FC1_4D52_8050_A448AB49ED67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AA2554F6_4FC1_4D52_8050_A448AB49ED67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AA2554F6_4FC1_4D52_8050_A448AB49ED67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AA2554F6_4FC1_4D52_8050_A448AB49ED67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AA2554F6_4FC1_4D52_8050_A448AB49ED67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AA2554F6_4FC1_4D52_8050_A448AB49ED67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AA2554F6_4FC1_4D52_8050_A448AB49ED67_.wvu.PrintArea" localSheetId="6" hidden="1">'2024년 전체'!$A$1:$BR$20</definedName>
    <definedName name="Z_AA2554F6_4FC1_4D52_8050_A448AB49ED67_.wvu.PrintArea" localSheetId="7" hidden="1">'2025년 전체'!$A$1:$BR$20</definedName>
    <definedName name="Z_AA2554F6_4FC1_4D52_8050_A448AB49ED67_.wvu.PrintArea" localSheetId="8" hidden="1">'2026년 전체'!$A$1:$BC$20</definedName>
    <definedName name="Z_AA2554F6_4FC1_4D52_8050_A448AB49ED67_.wvu.PrintArea" localSheetId="0" hidden="1">'2601월'!$A$1:$BC$39</definedName>
    <definedName name="Z_AA2554F6_4FC1_4D52_8050_A448AB49ED67_.wvu.PrintArea" localSheetId="1" hidden="1">'2602월'!$A$1:$BC$36</definedName>
    <definedName name="Z_AA2554F6_4FC1_4D52_8050_A448AB49ED67_.wvu.PrintArea" localSheetId="2" hidden="1">'2603월'!$A$1:$BC$39</definedName>
    <definedName name="Z_AA2554F6_4FC1_4D52_8050_A448AB49ED67_.wvu.PrintArea" localSheetId="3" hidden="1">'2604월'!$A$1:$BC$38</definedName>
    <definedName name="Z_AA2554F6_4FC1_4D52_8050_A448AB49ED67_.wvu.PrintArea" localSheetId="4" hidden="1">'2605월'!$A$1:$BC$39</definedName>
    <definedName name="Z_AA2554F6_4FC1_4D52_8050_A448AB49ED67_.wvu.PrintArea" localSheetId="5" hidden="1">'2606월'!$A$1:$BC$38</definedName>
    <definedName name="Z_AB8F78BD_81A4_4B97_B6F1_EE3E38226DA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AB8F78BD_81A4_4B97_B6F1_EE3E38226DA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AB8F78BD_81A4_4B97_B6F1_EE3E38226DA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AB8F78BD_81A4_4B97_B6F1_EE3E38226DA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AB8F78BD_81A4_4B97_B6F1_EE3E38226DA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AB8F78BD_81A4_4B97_B6F1_EE3E38226DA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AB8F78BD_81A4_4B97_B6F1_EE3E38226DA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AB8F78BD_81A4_4B97_B6F1_EE3E38226DA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AB8F78BD_81A4_4B97_B6F1_EE3E38226DA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AB8F78BD_81A4_4B97_B6F1_EE3E38226DA6_.wvu.PrintArea" localSheetId="6" hidden="1">'2024년 전체'!$A$1:$BN$20</definedName>
    <definedName name="Z_AB8F78BD_81A4_4B97_B6F1_EE3E38226DA6_.wvu.PrintArea" localSheetId="7" hidden="1">'2025년 전체'!$A$1:$BN$20</definedName>
    <definedName name="Z_AB8F78BD_81A4_4B97_B6F1_EE3E38226DA6_.wvu.PrintArea" localSheetId="8" hidden="1">'2026년 전체'!$A$1:$AY$20</definedName>
    <definedName name="Z_AB8F78BD_81A4_4B97_B6F1_EE3E38226DA6_.wvu.PrintArea" localSheetId="0" hidden="1">'2601월'!$A$1:$AY$39</definedName>
    <definedName name="Z_AB8F78BD_81A4_4B97_B6F1_EE3E38226DA6_.wvu.PrintArea" localSheetId="1" hidden="1">'2602월'!$A$1:$AY$36</definedName>
    <definedName name="Z_AB8F78BD_81A4_4B97_B6F1_EE3E38226DA6_.wvu.PrintArea" localSheetId="2" hidden="1">'2603월'!$A$1:$AY$39</definedName>
    <definedName name="Z_AB8F78BD_81A4_4B97_B6F1_EE3E38226DA6_.wvu.PrintArea" localSheetId="3" hidden="1">'2604월'!$A$1:$AY$38</definedName>
    <definedName name="Z_AB8F78BD_81A4_4B97_B6F1_EE3E38226DA6_.wvu.PrintArea" localSheetId="4" hidden="1">'2605월'!$A$1:$AY$39</definedName>
    <definedName name="Z_AB8F78BD_81A4_4B97_B6F1_EE3E38226DA6_.wvu.PrintArea" localSheetId="5" hidden="1">'2606월'!$A$1:$AY$38</definedName>
    <definedName name="Z_AC19F219_4ECD_430A_B015_8885C5398548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AC19F219_4ECD_430A_B015_8885C5398548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AC19F219_4ECD_430A_B015_8885C5398548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AC19F219_4ECD_430A_B015_8885C5398548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AC19F219_4ECD_430A_B015_8885C5398548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AC19F219_4ECD_430A_B015_8885C5398548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AC19F219_4ECD_430A_B015_8885C5398548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AC19F219_4ECD_430A_B015_8885C5398548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AC19F219_4ECD_430A_B015_8885C5398548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AC19F219_4ECD_430A_B015_8885C5398548_.wvu.PrintArea" localSheetId="6" hidden="1">'2024년 전체'!$A$1:$BN$20</definedName>
    <definedName name="Z_AC19F219_4ECD_430A_B015_8885C5398548_.wvu.PrintArea" localSheetId="7" hidden="1">'2025년 전체'!$A$1:$BN$20</definedName>
    <definedName name="Z_AC19F219_4ECD_430A_B015_8885C5398548_.wvu.PrintArea" localSheetId="8" hidden="1">'2026년 전체'!$A$1:$AY$20</definedName>
    <definedName name="Z_AC19F219_4ECD_430A_B015_8885C5398548_.wvu.PrintArea" localSheetId="0" hidden="1">'2601월'!$A$1:$AY$39</definedName>
    <definedName name="Z_AC19F219_4ECD_430A_B015_8885C5398548_.wvu.PrintArea" localSheetId="1" hidden="1">'2602월'!$A$1:$AY$36</definedName>
    <definedName name="Z_AC19F219_4ECD_430A_B015_8885C5398548_.wvu.PrintArea" localSheetId="2" hidden="1">'2603월'!$A$1:$AY$39</definedName>
    <definedName name="Z_AC19F219_4ECD_430A_B015_8885C5398548_.wvu.PrintArea" localSheetId="3" hidden="1">'2604월'!$A$1:$AY$38</definedName>
    <definedName name="Z_AC19F219_4ECD_430A_B015_8885C5398548_.wvu.PrintArea" localSheetId="4" hidden="1">'2605월'!$A$1:$AY$39</definedName>
    <definedName name="Z_AC19F219_4ECD_430A_B015_8885C5398548_.wvu.PrintArea" localSheetId="5" hidden="1">'2606월'!$A$1:$AY$38</definedName>
    <definedName name="Z_AC84040F_1477_47C7_B075_F4C2F4EA7467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전체'!$BK:$BL,'2024년 전체'!$BO:$BT</definedName>
    <definedName name="Z_AC84040F_1477_47C7_B075_F4C2F4EA7467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전체'!$BK:$BL,'2025년 전체'!$BO:$BT</definedName>
    <definedName name="Z_AC84040F_1477_47C7_B075_F4C2F4EA7467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전체'!$AV:$AW,'2026년 전체'!$AZ:$BE</definedName>
    <definedName name="Z_AC84040F_1477_47C7_B075_F4C2F4EA7467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AC84040F_1477_47C7_B075_F4C2F4EA7467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AC84040F_1477_47C7_B075_F4C2F4EA7467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AC84040F_1477_47C7_B075_F4C2F4EA7467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AC84040F_1477_47C7_B075_F4C2F4EA7467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AC84040F_1477_47C7_B075_F4C2F4EA7467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AC84040F_1477_47C7_B075_F4C2F4EA7467_.wvu.PrintArea" localSheetId="6" hidden="1">'2024년 전체'!$A$1:$BN$20</definedName>
    <definedName name="Z_AC84040F_1477_47C7_B075_F4C2F4EA7467_.wvu.PrintArea" localSheetId="7" hidden="1">'2025년 전체'!$A$1:$BN$20</definedName>
    <definedName name="Z_AC84040F_1477_47C7_B075_F4C2F4EA7467_.wvu.PrintArea" localSheetId="8" hidden="1">'2026년 전체'!$A$1:$AY$20</definedName>
    <definedName name="Z_AC84040F_1477_47C7_B075_F4C2F4EA7467_.wvu.PrintArea" localSheetId="0" hidden="1">'2601월'!$A$1:$AY$39</definedName>
    <definedName name="Z_AC84040F_1477_47C7_B075_F4C2F4EA7467_.wvu.PrintArea" localSheetId="1" hidden="1">'2602월'!$A$1:$AY$36</definedName>
    <definedName name="Z_AC84040F_1477_47C7_B075_F4C2F4EA7467_.wvu.PrintArea" localSheetId="2" hidden="1">'2603월'!$A$1:$AY$39</definedName>
    <definedName name="Z_AC84040F_1477_47C7_B075_F4C2F4EA7467_.wvu.PrintArea" localSheetId="3" hidden="1">'2604월'!$A$1:$AY$38</definedName>
    <definedName name="Z_AC84040F_1477_47C7_B075_F4C2F4EA7467_.wvu.PrintArea" localSheetId="4" hidden="1">'2605월'!$A$1:$AY$39</definedName>
    <definedName name="Z_AC84040F_1477_47C7_B075_F4C2F4EA7467_.wvu.PrintArea" localSheetId="5" hidden="1">'2606월'!$A$1:$AY$38</definedName>
    <definedName name="Z_ADBC4B5D_7F92_4250_86FE_8607F7CDB511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ADBC4B5D_7F92_4250_86FE_8607F7CDB511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ADBC4B5D_7F92_4250_86FE_8607F7CDB511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ADBC4B5D_7F92_4250_86FE_8607F7CDB511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ADBC4B5D_7F92_4250_86FE_8607F7CDB511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ADBC4B5D_7F92_4250_86FE_8607F7CDB511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ADBC4B5D_7F92_4250_86FE_8607F7CDB511_.wvu.PrintArea" localSheetId="6" hidden="1">'2024년 전체'!$A$1:$BN$20</definedName>
    <definedName name="Z_ADBC4B5D_7F92_4250_86FE_8607F7CDB511_.wvu.PrintArea" localSheetId="7" hidden="1">'2025년 전체'!$A$1:$BN$20</definedName>
    <definedName name="Z_ADBC4B5D_7F92_4250_86FE_8607F7CDB511_.wvu.PrintArea" localSheetId="8" hidden="1">'2026년 전체'!$A$1:$AY$20</definedName>
    <definedName name="Z_ADBC4B5D_7F92_4250_86FE_8607F7CDB511_.wvu.PrintArea" localSheetId="0" hidden="1">'2601월'!$A$1:$AY$39</definedName>
    <definedName name="Z_ADBC4B5D_7F92_4250_86FE_8607F7CDB511_.wvu.PrintArea" localSheetId="1" hidden="1">'2602월'!$A$1:$AY$36</definedName>
    <definedName name="Z_ADBC4B5D_7F92_4250_86FE_8607F7CDB511_.wvu.PrintArea" localSheetId="2" hidden="1">'2603월'!$A$1:$AY$39</definedName>
    <definedName name="Z_ADBC4B5D_7F92_4250_86FE_8607F7CDB511_.wvu.PrintArea" localSheetId="3" hidden="1">'2604월'!$A$1:$AY$38</definedName>
    <definedName name="Z_ADBC4B5D_7F92_4250_86FE_8607F7CDB511_.wvu.PrintArea" localSheetId="4" hidden="1">'2605월'!$A$1:$AY$39</definedName>
    <definedName name="Z_ADBC4B5D_7F92_4250_86FE_8607F7CDB511_.wvu.PrintArea" localSheetId="5" hidden="1">'2606월'!$A$1:$AY$38</definedName>
    <definedName name="Z_AE606A12_4036_4874_8D1E_0A2A0B5A65D6_.wvu.PrintArea" localSheetId="6" hidden="1">'2024년 전체'!$A$1:$BN$20</definedName>
    <definedName name="Z_AE606A12_4036_4874_8D1E_0A2A0B5A65D6_.wvu.PrintArea" localSheetId="7" hidden="1">'2025년 전체'!$A$1:$BN$20</definedName>
    <definedName name="Z_AE606A12_4036_4874_8D1E_0A2A0B5A65D6_.wvu.PrintArea" localSheetId="8" hidden="1">'2026년 전체'!$A$1:$AY$20</definedName>
    <definedName name="Z_AF6EDAEB_EF22_4C3C_8C41_38E3422C2F1D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AF6EDAEB_EF22_4C3C_8C41_38E3422C2F1D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AF6EDAEB_EF22_4C3C_8C41_38E3422C2F1D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AF6EDAEB_EF22_4C3C_8C41_38E3422C2F1D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AF6EDAEB_EF22_4C3C_8C41_38E3422C2F1D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AF6EDAEB_EF22_4C3C_8C41_38E3422C2F1D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AF6EDAEB_EF22_4C3C_8C41_38E3422C2F1D_.wvu.PrintArea" localSheetId="6" hidden="1">'2024년 전체'!$A$1:$BN$20</definedName>
    <definedName name="Z_AF6EDAEB_EF22_4C3C_8C41_38E3422C2F1D_.wvu.PrintArea" localSheetId="7" hidden="1">'2025년 전체'!$A$1:$BN$20</definedName>
    <definedName name="Z_AF6EDAEB_EF22_4C3C_8C41_38E3422C2F1D_.wvu.PrintArea" localSheetId="8" hidden="1">'2026년 전체'!$A$1:$AY$20</definedName>
    <definedName name="Z_AF6EDAEB_EF22_4C3C_8C41_38E3422C2F1D_.wvu.PrintArea" localSheetId="0" hidden="1">'2601월'!$A$1:$AY$39</definedName>
    <definedName name="Z_AF6EDAEB_EF22_4C3C_8C41_38E3422C2F1D_.wvu.PrintArea" localSheetId="1" hidden="1">'2602월'!$A$1:$AY$36</definedName>
    <definedName name="Z_AF6EDAEB_EF22_4C3C_8C41_38E3422C2F1D_.wvu.PrintArea" localSheetId="2" hidden="1">'2603월'!$A$1:$AY$39</definedName>
    <definedName name="Z_AF6EDAEB_EF22_4C3C_8C41_38E3422C2F1D_.wvu.PrintArea" localSheetId="3" hidden="1">'2604월'!$A$1:$AY$38</definedName>
    <definedName name="Z_AF6EDAEB_EF22_4C3C_8C41_38E3422C2F1D_.wvu.PrintArea" localSheetId="4" hidden="1">'2605월'!$A$1:$AY$39</definedName>
    <definedName name="Z_AF6EDAEB_EF22_4C3C_8C41_38E3422C2F1D_.wvu.PrintArea" localSheetId="5" hidden="1">'2606월'!$A$1:$AY$38</definedName>
    <definedName name="Z_B04B818F_6FD9_4A52_A280_7B1624C7C67A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B04B818F_6FD9_4A52_A280_7B1624C7C67A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B04B818F_6FD9_4A52_A280_7B1624C7C67A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B04B818F_6FD9_4A52_A280_7B1624C7C67A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B04B818F_6FD9_4A52_A280_7B1624C7C67A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B04B818F_6FD9_4A52_A280_7B1624C7C67A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B04B818F_6FD9_4A52_A280_7B1624C7C67A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B04B818F_6FD9_4A52_A280_7B1624C7C67A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B04B818F_6FD9_4A52_A280_7B1624C7C67A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B04B818F_6FD9_4A52_A280_7B1624C7C67A_.wvu.PrintArea" localSheetId="6" hidden="1">'2024년 전체'!$A$1:$BN$20</definedName>
    <definedName name="Z_B04B818F_6FD9_4A52_A280_7B1624C7C67A_.wvu.PrintArea" localSheetId="7" hidden="1">'2025년 전체'!$A$1:$BN$20</definedName>
    <definedName name="Z_B04B818F_6FD9_4A52_A280_7B1624C7C67A_.wvu.PrintArea" localSheetId="8" hidden="1">'2026년 전체'!$A$1:$AY$20</definedName>
    <definedName name="Z_B04B818F_6FD9_4A52_A280_7B1624C7C67A_.wvu.PrintArea" localSheetId="0" hidden="1">'2601월'!$A$1:$AY$39</definedName>
    <definedName name="Z_B04B818F_6FD9_4A52_A280_7B1624C7C67A_.wvu.PrintArea" localSheetId="1" hidden="1">'2602월'!$A$1:$AY$36</definedName>
    <definedName name="Z_B04B818F_6FD9_4A52_A280_7B1624C7C67A_.wvu.PrintArea" localSheetId="2" hidden="1">'2603월'!$A$1:$AY$39</definedName>
    <definedName name="Z_B04B818F_6FD9_4A52_A280_7B1624C7C67A_.wvu.PrintArea" localSheetId="3" hidden="1">'2604월'!$A$1:$AY$38</definedName>
    <definedName name="Z_B04B818F_6FD9_4A52_A280_7B1624C7C67A_.wvu.PrintArea" localSheetId="4" hidden="1">'2605월'!$A$1:$AY$39</definedName>
    <definedName name="Z_B04B818F_6FD9_4A52_A280_7B1624C7C67A_.wvu.PrintArea" localSheetId="5" hidden="1">'2606월'!$A$1:$AY$38</definedName>
    <definedName name="Z_B1561175_4AEA_4F7D_B30D_C5F3DBAD4F34_.wvu.Cols" localSheetId="6" hidden="1">'2024년 전체'!$C:$C,'2024년 전체'!$F:$F,'2024년 전체'!$H:$O,'2024년 전체'!$Q:$Q,'2024년 전체'!$T:$T,'2024년 전체'!$V:$AC,'2024년 전체'!$AE:$AF,'2024년 전체'!$AH:$AI,'2024년 전체'!$AK:$AR,'2024년 전체'!$AT:$AT,'2024년 전체'!$AW:$BD,'2024년 전체'!$BF:$BF,'2024년 전체'!$BK:$BL</definedName>
    <definedName name="Z_B1561175_4AEA_4F7D_B30D_C5F3DBAD4F34_.wvu.Cols" localSheetId="7" hidden="1">'2025년 전체'!$C:$C,'2025년 전체'!$F:$F,'2025년 전체'!$H:$O,'2025년 전체'!$Q:$Q,'2025년 전체'!$T:$T,'2025년 전체'!$V:$AC,'2025년 전체'!$AE:$AF,'2025년 전체'!$AH:$AI,'2025년 전체'!$AK:$AR,'2025년 전체'!$AT:$AT,'2025년 전체'!$AW:$BD,'2025년 전체'!$BF:$BF,'2025년 전체'!$BK:$BL</definedName>
    <definedName name="Z_B1561175_4AEA_4F7D_B30D_C5F3DBAD4F34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</definedName>
    <definedName name="Z_B1561175_4AEA_4F7D_B30D_C5F3DBAD4F34_.wvu.PrintArea" localSheetId="6" hidden="1">'2024년 전체'!$A$1:$BN$20</definedName>
    <definedName name="Z_B1561175_4AEA_4F7D_B30D_C5F3DBAD4F34_.wvu.PrintArea" localSheetId="7" hidden="1">'2025년 전체'!$A$1:$BN$20</definedName>
    <definedName name="Z_B1561175_4AEA_4F7D_B30D_C5F3DBAD4F34_.wvu.PrintArea" localSheetId="8" hidden="1">'2026년 전체'!$A$1:$AY$20</definedName>
    <definedName name="Z_B1563847_AD2A_47C3_AAC9_B9FDAA7474BD_.wvu.PrintArea" localSheetId="6" hidden="1">'2024년 전체'!$A$1:$BN$20</definedName>
    <definedName name="Z_B1563847_AD2A_47C3_AAC9_B9FDAA7474BD_.wvu.PrintArea" localSheetId="7" hidden="1">'2025년 전체'!$A$1:$BN$20</definedName>
    <definedName name="Z_B1563847_AD2A_47C3_AAC9_B9FDAA7474BD_.wvu.PrintArea" localSheetId="8" hidden="1">'2026년 전체'!$A$1:$AY$20</definedName>
    <definedName name="Z_B3405B75_11D4_4292_956B_41E737318A2F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B3405B75_11D4_4292_956B_41E737318A2F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B3405B75_11D4_4292_956B_41E737318A2F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B3405B75_11D4_4292_956B_41E737318A2F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B3405B75_11D4_4292_956B_41E737318A2F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B3405B75_11D4_4292_956B_41E737318A2F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B3405B75_11D4_4292_956B_41E737318A2F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B3405B75_11D4_4292_956B_41E737318A2F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B3405B75_11D4_4292_956B_41E737318A2F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B3405B75_11D4_4292_956B_41E737318A2F_.wvu.PrintArea" localSheetId="6" hidden="1">'2024년 전체'!$A$1:$BN$20</definedName>
    <definedName name="Z_B3405B75_11D4_4292_956B_41E737318A2F_.wvu.PrintArea" localSheetId="7" hidden="1">'2025년 전체'!$A$1:$BN$20</definedName>
    <definedName name="Z_B3405B75_11D4_4292_956B_41E737318A2F_.wvu.PrintArea" localSheetId="8" hidden="1">'2026년 전체'!$A$1:$AY$20</definedName>
    <definedName name="Z_B3405B75_11D4_4292_956B_41E737318A2F_.wvu.PrintArea" localSheetId="0" hidden="1">'2601월'!$A$1:$AY$39</definedName>
    <definedName name="Z_B3405B75_11D4_4292_956B_41E737318A2F_.wvu.PrintArea" localSheetId="1" hidden="1">'2602월'!$A$1:$AY$36</definedName>
    <definedName name="Z_B3405B75_11D4_4292_956B_41E737318A2F_.wvu.PrintArea" localSheetId="2" hidden="1">'2603월'!$A$1:$AY$39</definedName>
    <definedName name="Z_B3405B75_11D4_4292_956B_41E737318A2F_.wvu.PrintArea" localSheetId="3" hidden="1">'2604월'!$A$1:$AY$38</definedName>
    <definedName name="Z_B3405B75_11D4_4292_956B_41E737318A2F_.wvu.PrintArea" localSheetId="4" hidden="1">'2605월'!$A$1:$AY$39</definedName>
    <definedName name="Z_B3405B75_11D4_4292_956B_41E737318A2F_.wvu.PrintArea" localSheetId="5" hidden="1">'2606월'!$A$1:$AY$38</definedName>
    <definedName name="Z_B36B1895_E9A1_4552_80C2_AE733C5D8FC0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B36B1895_E9A1_4552_80C2_AE733C5D8FC0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B36B1895_E9A1_4552_80C2_AE733C5D8FC0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B36B1895_E9A1_4552_80C2_AE733C5D8FC0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B36B1895_E9A1_4552_80C2_AE733C5D8FC0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B36B1895_E9A1_4552_80C2_AE733C5D8FC0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B36B1895_E9A1_4552_80C2_AE733C5D8FC0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B36B1895_E9A1_4552_80C2_AE733C5D8FC0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B36B1895_E9A1_4552_80C2_AE733C5D8FC0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B36B1895_E9A1_4552_80C2_AE733C5D8FC0_.wvu.PrintArea" localSheetId="6" hidden="1">'2024년 전체'!$A$1:$BN$20</definedName>
    <definedName name="Z_B36B1895_E9A1_4552_80C2_AE733C5D8FC0_.wvu.PrintArea" localSheetId="7" hidden="1">'2025년 전체'!$A$1:$BN$20</definedName>
    <definedName name="Z_B36B1895_E9A1_4552_80C2_AE733C5D8FC0_.wvu.PrintArea" localSheetId="8" hidden="1">'2026년 전체'!$A$1:$AY$20</definedName>
    <definedName name="Z_B36B1895_E9A1_4552_80C2_AE733C5D8FC0_.wvu.PrintArea" localSheetId="0" hidden="1">'2601월'!$A$1:$AY$39</definedName>
    <definedName name="Z_B36B1895_E9A1_4552_80C2_AE733C5D8FC0_.wvu.PrintArea" localSheetId="1" hidden="1">'2602월'!$A$1:$AY$36</definedName>
    <definedName name="Z_B36B1895_E9A1_4552_80C2_AE733C5D8FC0_.wvu.PrintArea" localSheetId="2" hidden="1">'2603월'!$A$1:$AY$39</definedName>
    <definedName name="Z_B36B1895_E9A1_4552_80C2_AE733C5D8FC0_.wvu.PrintArea" localSheetId="3" hidden="1">'2604월'!$A$1:$AY$38</definedName>
    <definedName name="Z_B36B1895_E9A1_4552_80C2_AE733C5D8FC0_.wvu.PrintArea" localSheetId="4" hidden="1">'2605월'!$A$1:$AY$39</definedName>
    <definedName name="Z_B36B1895_E9A1_4552_80C2_AE733C5D8FC0_.wvu.PrintArea" localSheetId="5" hidden="1">'2606월'!$A$1:$AY$38</definedName>
    <definedName name="Z_B3B48447_759B_4D3B_A375_AD108D258609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B3B48447_759B_4D3B_A375_AD108D258609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B3B48447_759B_4D3B_A375_AD108D258609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B3B48447_759B_4D3B_A375_AD108D258609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B3B48447_759B_4D3B_A375_AD108D258609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B3B48447_759B_4D3B_A375_AD108D258609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B3B48447_759B_4D3B_A375_AD108D258609_.wvu.PrintArea" localSheetId="6" hidden="1">'2024년 전체'!$A$1:$BN$20</definedName>
    <definedName name="Z_B3B48447_759B_4D3B_A375_AD108D258609_.wvu.PrintArea" localSheetId="7" hidden="1">'2025년 전체'!$A$1:$BN$20</definedName>
    <definedName name="Z_B3B48447_759B_4D3B_A375_AD108D258609_.wvu.PrintArea" localSheetId="8" hidden="1">'2026년 전체'!$A$1:$AY$20</definedName>
    <definedName name="Z_B3B48447_759B_4D3B_A375_AD108D258609_.wvu.PrintArea" localSheetId="0" hidden="1">'2601월'!$A$1:$AY$39</definedName>
    <definedName name="Z_B3B48447_759B_4D3B_A375_AD108D258609_.wvu.PrintArea" localSheetId="1" hidden="1">'2602월'!$A$1:$AY$36</definedName>
    <definedName name="Z_B3B48447_759B_4D3B_A375_AD108D258609_.wvu.PrintArea" localSheetId="2" hidden="1">'2603월'!$A$1:$AY$39</definedName>
    <definedName name="Z_B3B48447_759B_4D3B_A375_AD108D258609_.wvu.PrintArea" localSheetId="3" hidden="1">'2604월'!$A$1:$AY$38</definedName>
    <definedName name="Z_B3B48447_759B_4D3B_A375_AD108D258609_.wvu.PrintArea" localSheetId="4" hidden="1">'2605월'!$A$1:$AY$39</definedName>
    <definedName name="Z_B3B48447_759B_4D3B_A375_AD108D258609_.wvu.PrintArea" localSheetId="5" hidden="1">'2606월'!$A$1:$AY$38</definedName>
    <definedName name="Z_B4DFCDEA_1EC6_435F_9CC4_D81A4BE70137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B4DFCDEA_1EC6_435F_9CC4_D81A4BE70137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B4DFCDEA_1EC6_435F_9CC4_D81A4BE70137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B4DFCDEA_1EC6_435F_9CC4_D81A4BE70137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B4DFCDEA_1EC6_435F_9CC4_D81A4BE70137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B4DFCDEA_1EC6_435F_9CC4_D81A4BE70137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B4DFCDEA_1EC6_435F_9CC4_D81A4BE70137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B4DFCDEA_1EC6_435F_9CC4_D81A4BE70137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B4DFCDEA_1EC6_435F_9CC4_D81A4BE70137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B4DFCDEA_1EC6_435F_9CC4_D81A4BE70137_.wvu.PrintArea" localSheetId="6" hidden="1">'2024년 전체'!$A$1:$BN$20</definedName>
    <definedName name="Z_B4DFCDEA_1EC6_435F_9CC4_D81A4BE70137_.wvu.PrintArea" localSheetId="7" hidden="1">'2025년 전체'!$A$1:$BN$20</definedName>
    <definedName name="Z_B4DFCDEA_1EC6_435F_9CC4_D81A4BE70137_.wvu.PrintArea" localSheetId="8" hidden="1">'2026년 전체'!$A$1:$AY$20</definedName>
    <definedName name="Z_B4DFCDEA_1EC6_435F_9CC4_D81A4BE70137_.wvu.PrintArea" localSheetId="0" hidden="1">'2601월'!$A$1:$AY$39</definedName>
    <definedName name="Z_B4DFCDEA_1EC6_435F_9CC4_D81A4BE70137_.wvu.PrintArea" localSheetId="1" hidden="1">'2602월'!$A$1:$AY$36</definedName>
    <definedName name="Z_B4DFCDEA_1EC6_435F_9CC4_D81A4BE70137_.wvu.PrintArea" localSheetId="2" hidden="1">'2603월'!$A$1:$AY$39</definedName>
    <definedName name="Z_B4DFCDEA_1EC6_435F_9CC4_D81A4BE70137_.wvu.PrintArea" localSheetId="3" hidden="1">'2604월'!$A$1:$AY$38</definedName>
    <definedName name="Z_B4DFCDEA_1EC6_435F_9CC4_D81A4BE70137_.wvu.PrintArea" localSheetId="4" hidden="1">'2605월'!$A$1:$AY$39</definedName>
    <definedName name="Z_B4DFCDEA_1EC6_435F_9CC4_D81A4BE70137_.wvu.PrintArea" localSheetId="5" hidden="1">'2606월'!$A$1:$AY$38</definedName>
    <definedName name="Z_B767ACB6_E216_4F73_8FFD_D5BBAC7B21AC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B767ACB6_E216_4F73_8FFD_D5BBAC7B21AC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B767ACB6_E216_4F73_8FFD_D5BBAC7B21AC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B767ACB6_E216_4F73_8FFD_D5BBAC7B21AC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B767ACB6_E216_4F73_8FFD_D5BBAC7B21AC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B767ACB6_E216_4F73_8FFD_D5BBAC7B21AC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B767ACB6_E216_4F73_8FFD_D5BBAC7B21AC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B767ACB6_E216_4F73_8FFD_D5BBAC7B21AC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B767ACB6_E216_4F73_8FFD_D5BBAC7B21AC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B767ACB6_E216_4F73_8FFD_D5BBAC7B21AC_.wvu.PrintArea" localSheetId="6" hidden="1">'2024년 전체'!$A$1:$BN$20</definedName>
    <definedName name="Z_B767ACB6_E216_4F73_8FFD_D5BBAC7B21AC_.wvu.PrintArea" localSheetId="7" hidden="1">'2025년 전체'!$A$1:$BN$20</definedName>
    <definedName name="Z_B767ACB6_E216_4F73_8FFD_D5BBAC7B21AC_.wvu.PrintArea" localSheetId="8" hidden="1">'2026년 전체'!$A$1:$AY$20</definedName>
    <definedName name="Z_B767ACB6_E216_4F73_8FFD_D5BBAC7B21AC_.wvu.PrintArea" localSheetId="0" hidden="1">'2601월'!$A$1:$AY$39</definedName>
    <definedName name="Z_B767ACB6_E216_4F73_8FFD_D5BBAC7B21AC_.wvu.PrintArea" localSheetId="1" hidden="1">'2602월'!$A$1:$AY$36</definedName>
    <definedName name="Z_B767ACB6_E216_4F73_8FFD_D5BBAC7B21AC_.wvu.PrintArea" localSheetId="2" hidden="1">'2603월'!$A$1:$AY$39</definedName>
    <definedName name="Z_B767ACB6_E216_4F73_8FFD_D5BBAC7B21AC_.wvu.PrintArea" localSheetId="3" hidden="1">'2604월'!$A$1:$AY$38</definedName>
    <definedName name="Z_B767ACB6_E216_4F73_8FFD_D5BBAC7B21AC_.wvu.PrintArea" localSheetId="4" hidden="1">'2605월'!$A$1:$AY$39</definedName>
    <definedName name="Z_B767ACB6_E216_4F73_8FFD_D5BBAC7B21AC_.wvu.PrintArea" localSheetId="5" hidden="1">'2606월'!$A$1:$AY$38</definedName>
    <definedName name="Z_B7BA9258_8C5E_4BEC_93D4_140B29E220F1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B7BA9258_8C5E_4BEC_93D4_140B29E220F1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B7BA9258_8C5E_4BEC_93D4_140B29E220F1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B7BA9258_8C5E_4BEC_93D4_140B29E220F1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B7BA9258_8C5E_4BEC_93D4_140B29E220F1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B7BA9258_8C5E_4BEC_93D4_140B29E220F1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B7BA9258_8C5E_4BEC_93D4_140B29E220F1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B7BA9258_8C5E_4BEC_93D4_140B29E220F1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B7BA9258_8C5E_4BEC_93D4_140B29E220F1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B7BA9258_8C5E_4BEC_93D4_140B29E220F1_.wvu.PrintArea" localSheetId="6" hidden="1">'2024년 전체'!$A$1:$BN$20</definedName>
    <definedName name="Z_B7BA9258_8C5E_4BEC_93D4_140B29E220F1_.wvu.PrintArea" localSheetId="7" hidden="1">'2025년 전체'!$A$1:$BN$20</definedName>
    <definedName name="Z_B7BA9258_8C5E_4BEC_93D4_140B29E220F1_.wvu.PrintArea" localSheetId="8" hidden="1">'2026년 전체'!$A$1:$AY$20</definedName>
    <definedName name="Z_B7BA9258_8C5E_4BEC_93D4_140B29E220F1_.wvu.PrintArea" localSheetId="0" hidden="1">'2601월'!$A$1:$AY$39</definedName>
    <definedName name="Z_B7BA9258_8C5E_4BEC_93D4_140B29E220F1_.wvu.PrintArea" localSheetId="1" hidden="1">'2602월'!$A$1:$AY$36</definedName>
    <definedName name="Z_B7BA9258_8C5E_4BEC_93D4_140B29E220F1_.wvu.PrintArea" localSheetId="2" hidden="1">'2603월'!$A$1:$AY$39</definedName>
    <definedName name="Z_B7BA9258_8C5E_4BEC_93D4_140B29E220F1_.wvu.PrintArea" localSheetId="3" hidden="1">'2604월'!$A$1:$AY$38</definedName>
    <definedName name="Z_B7BA9258_8C5E_4BEC_93D4_140B29E220F1_.wvu.PrintArea" localSheetId="4" hidden="1">'2605월'!$A$1:$AY$39</definedName>
    <definedName name="Z_B7BA9258_8C5E_4BEC_93D4_140B29E220F1_.wvu.PrintArea" localSheetId="5" hidden="1">'2606월'!$A$1:$AY$38</definedName>
    <definedName name="Z_B8790551_7ADF_4258_868F_E0B7CD44C994_.wvu.PrintArea" localSheetId="6" hidden="1">'2024년 전체'!$A$1:$BN$20</definedName>
    <definedName name="Z_B8790551_7ADF_4258_868F_E0B7CD44C994_.wvu.PrintArea" localSheetId="7" hidden="1">'2025년 전체'!$A$1:$BN$20</definedName>
    <definedName name="Z_B8790551_7ADF_4258_868F_E0B7CD44C994_.wvu.PrintArea" localSheetId="8" hidden="1">'2026년 전체'!$A$1:$AY$20</definedName>
    <definedName name="Z_BB9D9672_1A89_4F49_ACEF_820A700A13CE_.wvu.PrintArea" localSheetId="6" hidden="1">'2024년 전체'!$A$1:$BN$20</definedName>
    <definedName name="Z_BB9D9672_1A89_4F49_ACEF_820A700A13CE_.wvu.PrintArea" localSheetId="7" hidden="1">'2025년 전체'!$A$1:$BN$20</definedName>
    <definedName name="Z_BB9D9672_1A89_4F49_ACEF_820A700A13CE_.wvu.PrintArea" localSheetId="8" hidden="1">'2026년 전체'!$A$1:$AY$20</definedName>
    <definedName name="Z_BE349A37_5DE3_488D_8229_EAC3E3E1C99D_.wvu.PrintArea" localSheetId="6" hidden="1">'2024년 전체'!$A$1:$BN$20</definedName>
    <definedName name="Z_BE349A37_5DE3_488D_8229_EAC3E3E1C99D_.wvu.PrintArea" localSheetId="7" hidden="1">'2025년 전체'!$A$1:$BN$20</definedName>
    <definedName name="Z_BE349A37_5DE3_488D_8229_EAC3E3E1C99D_.wvu.PrintArea" localSheetId="8" hidden="1">'2026년 전체'!$A$1:$AY$20</definedName>
    <definedName name="Z_BEF25A4D_F4C3_4F99_9974_644E9B00E219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BEF25A4D_F4C3_4F99_9974_644E9B00E219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BEF25A4D_F4C3_4F99_9974_644E9B00E219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BEF25A4D_F4C3_4F99_9974_644E9B00E219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BEF25A4D_F4C3_4F99_9974_644E9B00E219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BEF25A4D_F4C3_4F99_9974_644E9B00E219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BEF25A4D_F4C3_4F99_9974_644E9B00E219_.wvu.PrintArea" localSheetId="6" hidden="1">'2024년 전체'!$A$1:$BN$20</definedName>
    <definedName name="Z_BEF25A4D_F4C3_4F99_9974_644E9B00E219_.wvu.PrintArea" localSheetId="7" hidden="1">'2025년 전체'!$A$1:$BN$20</definedName>
    <definedName name="Z_BEF25A4D_F4C3_4F99_9974_644E9B00E219_.wvu.PrintArea" localSheetId="8" hidden="1">'2026년 전체'!$A$1:$AY$20</definedName>
    <definedName name="Z_BEF25A4D_F4C3_4F99_9974_644E9B00E219_.wvu.PrintArea" localSheetId="0" hidden="1">'2601월'!$A$1:$AY$39</definedName>
    <definedName name="Z_BEF25A4D_F4C3_4F99_9974_644E9B00E219_.wvu.PrintArea" localSheetId="1" hidden="1">'2602월'!$A$1:$AY$36</definedName>
    <definedName name="Z_BEF25A4D_F4C3_4F99_9974_644E9B00E219_.wvu.PrintArea" localSheetId="2" hidden="1">'2603월'!$A$1:$AY$39</definedName>
    <definedName name="Z_BEF25A4D_F4C3_4F99_9974_644E9B00E219_.wvu.PrintArea" localSheetId="3" hidden="1">'2604월'!$A$1:$AY$38</definedName>
    <definedName name="Z_BEF25A4D_F4C3_4F99_9974_644E9B00E219_.wvu.PrintArea" localSheetId="4" hidden="1">'2605월'!$A$1:$AY$39</definedName>
    <definedName name="Z_BEF25A4D_F4C3_4F99_9974_644E9B00E219_.wvu.PrintArea" localSheetId="5" hidden="1">'2606월'!$A$1:$AY$38</definedName>
    <definedName name="Z_C026B1AA_C3E4_4967_88A4_F2E9E3AD3C4E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C026B1AA_C3E4_4967_88A4_F2E9E3AD3C4E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C026B1AA_C3E4_4967_88A4_F2E9E3AD3C4E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C026B1AA_C3E4_4967_88A4_F2E9E3AD3C4E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C026B1AA_C3E4_4967_88A4_F2E9E3AD3C4E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C026B1AA_C3E4_4967_88A4_F2E9E3AD3C4E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C026B1AA_C3E4_4967_88A4_F2E9E3AD3C4E_.wvu.PrintArea" localSheetId="0" hidden="1">'2601월'!$A$1:$AY$39</definedName>
    <definedName name="Z_C026B1AA_C3E4_4967_88A4_F2E9E3AD3C4E_.wvu.PrintArea" localSheetId="1" hidden="1">'2602월'!$A$1:$AY$36</definedName>
    <definedName name="Z_C026B1AA_C3E4_4967_88A4_F2E9E3AD3C4E_.wvu.PrintArea" localSheetId="2" hidden="1">'2603월'!$A$1:$AY$39</definedName>
    <definedName name="Z_C026B1AA_C3E4_4967_88A4_F2E9E3AD3C4E_.wvu.PrintArea" localSheetId="3" hidden="1">'2604월'!$A$1:$AY$38</definedName>
    <definedName name="Z_C026B1AA_C3E4_4967_88A4_F2E9E3AD3C4E_.wvu.PrintArea" localSheetId="4" hidden="1">'2605월'!$A$1:$AY$39</definedName>
    <definedName name="Z_C026B1AA_C3E4_4967_88A4_F2E9E3AD3C4E_.wvu.PrintArea" localSheetId="5" hidden="1">'2606월'!$A$1:$AY$38</definedName>
    <definedName name="Z_C29C9645_BD31_40C2_A957_58C2A2BC992B_.wvu.PrintArea" localSheetId="6" hidden="1">'2024년 전체'!$A$1:$BN$20</definedName>
    <definedName name="Z_C29C9645_BD31_40C2_A957_58C2A2BC992B_.wvu.PrintArea" localSheetId="7" hidden="1">'2025년 전체'!$A$1:$BN$20</definedName>
    <definedName name="Z_C29C9645_BD31_40C2_A957_58C2A2BC992B_.wvu.PrintArea" localSheetId="8" hidden="1">'2026년 전체'!$A$1:$AY$20</definedName>
    <definedName name="Z_C29C9645_BD31_40C2_A957_58C2A2BC992B_.wvu.PrintArea" localSheetId="0" hidden="1">'2601월'!$A$1:$AY$39</definedName>
    <definedName name="Z_C29C9645_BD31_40C2_A957_58C2A2BC992B_.wvu.PrintArea" localSheetId="1" hidden="1">'2602월'!$A$1:$AY$36</definedName>
    <definedName name="Z_C29C9645_BD31_40C2_A957_58C2A2BC992B_.wvu.PrintArea" localSheetId="2" hidden="1">'2603월'!$A$1:$AY$39</definedName>
    <definedName name="Z_C29C9645_BD31_40C2_A957_58C2A2BC992B_.wvu.PrintArea" localSheetId="3" hidden="1">'2604월'!$A$1:$AY$38</definedName>
    <definedName name="Z_C29C9645_BD31_40C2_A957_58C2A2BC992B_.wvu.PrintArea" localSheetId="4" hidden="1">'2605월'!$A$1:$AY$39</definedName>
    <definedName name="Z_C29C9645_BD31_40C2_A957_58C2A2BC992B_.wvu.PrintArea" localSheetId="5" hidden="1">'2606월'!$A$1:$AY$38</definedName>
    <definedName name="Z_C32410B7_60E8_45F4_8E0E_4243BE46C060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C32410B7_60E8_45F4_8E0E_4243BE46C060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C32410B7_60E8_45F4_8E0E_4243BE46C060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C32410B7_60E8_45F4_8E0E_4243BE46C060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32410B7_60E8_45F4_8E0E_4243BE46C060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32410B7_60E8_45F4_8E0E_4243BE46C060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32410B7_60E8_45F4_8E0E_4243BE46C060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32410B7_60E8_45F4_8E0E_4243BE46C060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32410B7_60E8_45F4_8E0E_4243BE46C060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32410B7_60E8_45F4_8E0E_4243BE46C060_.wvu.PrintArea" localSheetId="6" hidden="1">'2024년 전체'!$A$1:$BR$20</definedName>
    <definedName name="Z_C32410B7_60E8_45F4_8E0E_4243BE46C060_.wvu.PrintArea" localSheetId="7" hidden="1">'2025년 전체'!$A$1:$BR$20</definedName>
    <definedName name="Z_C32410B7_60E8_45F4_8E0E_4243BE46C060_.wvu.PrintArea" localSheetId="8" hidden="1">'2026년 전체'!$A$1:$BC$20</definedName>
    <definedName name="Z_C32410B7_60E8_45F4_8E0E_4243BE46C060_.wvu.PrintArea" localSheetId="0" hidden="1">'2601월'!$A$1:$BC$39</definedName>
    <definedName name="Z_C32410B7_60E8_45F4_8E0E_4243BE46C060_.wvu.PrintArea" localSheetId="1" hidden="1">'2602월'!$A$1:$BC$36</definedName>
    <definedName name="Z_C32410B7_60E8_45F4_8E0E_4243BE46C060_.wvu.PrintArea" localSheetId="2" hidden="1">'2603월'!$A$1:$BC$39</definedName>
    <definedName name="Z_C32410B7_60E8_45F4_8E0E_4243BE46C060_.wvu.PrintArea" localSheetId="3" hidden="1">'2604월'!$A$1:$BC$38</definedName>
    <definedName name="Z_C32410B7_60E8_45F4_8E0E_4243BE46C060_.wvu.PrintArea" localSheetId="4" hidden="1">'2605월'!$A$1:$BC$39</definedName>
    <definedName name="Z_C32410B7_60E8_45F4_8E0E_4243BE46C060_.wvu.PrintArea" localSheetId="5" hidden="1">'2606월'!$A$1:$BC$38</definedName>
    <definedName name="Z_C5BB0279_7A4E_425F_A0C5_7CE471161871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C5BB0279_7A4E_425F_A0C5_7CE471161871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C5BB0279_7A4E_425F_A0C5_7CE471161871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C5BB0279_7A4E_425F_A0C5_7CE471161871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5BB0279_7A4E_425F_A0C5_7CE471161871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5BB0279_7A4E_425F_A0C5_7CE471161871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5BB0279_7A4E_425F_A0C5_7CE471161871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5BB0279_7A4E_425F_A0C5_7CE471161871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5BB0279_7A4E_425F_A0C5_7CE471161871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5BB0279_7A4E_425F_A0C5_7CE471161871_.wvu.PrintArea" localSheetId="6" hidden="1">'2024년 전체'!$A$1:$BR$20</definedName>
    <definedName name="Z_C5BB0279_7A4E_425F_A0C5_7CE471161871_.wvu.PrintArea" localSheetId="7" hidden="1">'2025년 전체'!$A$1:$BR$20</definedName>
    <definedName name="Z_C5BB0279_7A4E_425F_A0C5_7CE471161871_.wvu.PrintArea" localSheetId="8" hidden="1">'2026년 전체'!$A$1:$BC$20</definedName>
    <definedName name="Z_C5BB0279_7A4E_425F_A0C5_7CE471161871_.wvu.PrintArea" localSheetId="0" hidden="1">'2601월'!$A$1:$BC$39</definedName>
    <definedName name="Z_C5BB0279_7A4E_425F_A0C5_7CE471161871_.wvu.PrintArea" localSheetId="1" hidden="1">'2602월'!$A$1:$BC$36</definedName>
    <definedName name="Z_C5BB0279_7A4E_425F_A0C5_7CE471161871_.wvu.PrintArea" localSheetId="2" hidden="1">'2603월'!$A$1:$BC$39</definedName>
    <definedName name="Z_C5BB0279_7A4E_425F_A0C5_7CE471161871_.wvu.PrintArea" localSheetId="3" hidden="1">'2604월'!$A$1:$BC$38</definedName>
    <definedName name="Z_C5BB0279_7A4E_425F_A0C5_7CE471161871_.wvu.PrintArea" localSheetId="4" hidden="1">'2605월'!$A$1:$BC$39</definedName>
    <definedName name="Z_C5BB0279_7A4E_425F_A0C5_7CE471161871_.wvu.PrintArea" localSheetId="5" hidden="1">'2606월'!$A$1:$BC$38</definedName>
    <definedName name="Z_C64657DB_8612_443A_9723_E7F94F9B9085_.wvu.PrintArea" localSheetId="6" hidden="1">'2024년 전체'!$A$1:$BN$20</definedName>
    <definedName name="Z_C64657DB_8612_443A_9723_E7F94F9B9085_.wvu.PrintArea" localSheetId="7" hidden="1">'2025년 전체'!$A$1:$BN$20</definedName>
    <definedName name="Z_C64657DB_8612_443A_9723_E7F94F9B9085_.wvu.PrintArea" localSheetId="8" hidden="1">'2026년 전체'!$A$1:$AY$20</definedName>
    <definedName name="Z_C64657DB_8612_443A_9723_E7F94F9B9085_.wvu.PrintArea" localSheetId="0" hidden="1">'2601월'!$A$1:$AY$39</definedName>
    <definedName name="Z_C64657DB_8612_443A_9723_E7F94F9B9085_.wvu.PrintArea" localSheetId="1" hidden="1">'2602월'!$A$1:$AY$36</definedName>
    <definedName name="Z_C64657DB_8612_443A_9723_E7F94F9B9085_.wvu.PrintArea" localSheetId="2" hidden="1">'2603월'!$A$1:$AY$39</definedName>
    <definedName name="Z_C64657DB_8612_443A_9723_E7F94F9B9085_.wvu.PrintArea" localSheetId="3" hidden="1">'2604월'!$A$1:$AY$38</definedName>
    <definedName name="Z_C64657DB_8612_443A_9723_E7F94F9B9085_.wvu.PrintArea" localSheetId="4" hidden="1">'2605월'!$A$1:$AY$39</definedName>
    <definedName name="Z_C64657DB_8612_443A_9723_E7F94F9B9085_.wvu.PrintArea" localSheetId="5" hidden="1">'2606월'!$A$1:$AY$38</definedName>
    <definedName name="Z_C68A484A_D802_4416_9E76_E884926102E4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C68A484A_D802_4416_9E76_E884926102E4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C68A484A_D802_4416_9E76_E884926102E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C68A484A_D802_4416_9E76_E884926102E4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68A484A_D802_4416_9E76_E884926102E4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68A484A_D802_4416_9E76_E884926102E4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68A484A_D802_4416_9E76_E884926102E4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68A484A_D802_4416_9E76_E884926102E4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68A484A_D802_4416_9E76_E884926102E4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68A484A_D802_4416_9E76_E884926102E4_.wvu.PrintArea" localSheetId="6" hidden="1">'2024년 전체'!$A$1:$BN$20</definedName>
    <definedName name="Z_C68A484A_D802_4416_9E76_E884926102E4_.wvu.PrintArea" localSheetId="7" hidden="1">'2025년 전체'!$A$1:$BN$20</definedName>
    <definedName name="Z_C68A484A_D802_4416_9E76_E884926102E4_.wvu.PrintArea" localSheetId="8" hidden="1">'2026년 전체'!$A$1:$AY$20</definedName>
    <definedName name="Z_C68A484A_D802_4416_9E76_E884926102E4_.wvu.PrintArea" localSheetId="0" hidden="1">'2601월'!$A$1:$AY$39</definedName>
    <definedName name="Z_C68A484A_D802_4416_9E76_E884926102E4_.wvu.PrintArea" localSheetId="1" hidden="1">'2602월'!$A$1:$AY$36</definedName>
    <definedName name="Z_C68A484A_D802_4416_9E76_E884926102E4_.wvu.PrintArea" localSheetId="2" hidden="1">'2603월'!$A$1:$AY$39</definedName>
    <definedName name="Z_C68A484A_D802_4416_9E76_E884926102E4_.wvu.PrintArea" localSheetId="3" hidden="1">'2604월'!$A$1:$AY$38</definedName>
    <definedName name="Z_C68A484A_D802_4416_9E76_E884926102E4_.wvu.PrintArea" localSheetId="4" hidden="1">'2605월'!$A$1:$AY$39</definedName>
    <definedName name="Z_C68A484A_D802_4416_9E76_E884926102E4_.wvu.PrintArea" localSheetId="5" hidden="1">'2606월'!$A$1:$AY$38</definedName>
    <definedName name="Z_C7BCC590_9740_4571_AD3A_9399D63F82B6_.wvu.PrintArea" localSheetId="6" hidden="1">'2024년 전체'!$A$1:$BN$20</definedName>
    <definedName name="Z_C7BCC590_9740_4571_AD3A_9399D63F82B6_.wvu.PrintArea" localSheetId="7" hidden="1">'2025년 전체'!$A$1:$BN$20</definedName>
    <definedName name="Z_C7BCC590_9740_4571_AD3A_9399D63F82B6_.wvu.PrintArea" localSheetId="8" hidden="1">'2026년 전체'!$A$1:$AY$20</definedName>
    <definedName name="Z_C7DD53F8_26C6_4ED9_8C1A_BE997C0DD8E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7DD53F8_26C6_4ED9_8C1A_BE997C0DD8E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7DD53F8_26C6_4ED9_8C1A_BE997C0DD8E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7DD53F8_26C6_4ED9_8C1A_BE997C0DD8E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7DD53F8_26C6_4ED9_8C1A_BE997C0DD8E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7DD53F8_26C6_4ED9_8C1A_BE997C0DD8E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7DD53F8_26C6_4ED9_8C1A_BE997C0DD8E6_.wvu.PrintArea" localSheetId="0" hidden="1">'2601월'!$A$1:$AY$39</definedName>
    <definedName name="Z_C7DD53F8_26C6_4ED9_8C1A_BE997C0DD8E6_.wvu.PrintArea" localSheetId="1" hidden="1">'2602월'!$A$1:$AY$36</definedName>
    <definedName name="Z_C7DD53F8_26C6_4ED9_8C1A_BE997C0DD8E6_.wvu.PrintArea" localSheetId="2" hidden="1">'2603월'!$A$1:$AY$39</definedName>
    <definedName name="Z_C7DD53F8_26C6_4ED9_8C1A_BE997C0DD8E6_.wvu.PrintArea" localSheetId="3" hidden="1">'2604월'!$A$1:$AY$38</definedName>
    <definedName name="Z_C7DD53F8_26C6_4ED9_8C1A_BE997C0DD8E6_.wvu.PrintArea" localSheetId="4" hidden="1">'2605월'!$A$1:$AY$39</definedName>
    <definedName name="Z_C7DD53F8_26C6_4ED9_8C1A_BE997C0DD8E6_.wvu.PrintArea" localSheetId="5" hidden="1">'2606월'!$A$1:$AY$38</definedName>
    <definedName name="Z_C8BF0FF5_0590_40B7_88B4_4157515957FC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C8BF0FF5_0590_40B7_88B4_4157515957FC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C8BF0FF5_0590_40B7_88B4_4157515957FC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C8BF0FF5_0590_40B7_88B4_4157515957FC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8BF0FF5_0590_40B7_88B4_4157515957FC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8BF0FF5_0590_40B7_88B4_4157515957FC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8BF0FF5_0590_40B7_88B4_4157515957FC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8BF0FF5_0590_40B7_88B4_4157515957FC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8BF0FF5_0590_40B7_88B4_4157515957FC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8BF0FF5_0590_40B7_88B4_4157515957FC_.wvu.PrintArea" localSheetId="6" hidden="1">'2024년 전체'!$A$1:$BN$20</definedName>
    <definedName name="Z_C8BF0FF5_0590_40B7_88B4_4157515957FC_.wvu.PrintArea" localSheetId="7" hidden="1">'2025년 전체'!$A$1:$BN$20</definedName>
    <definedName name="Z_C8BF0FF5_0590_40B7_88B4_4157515957FC_.wvu.PrintArea" localSheetId="8" hidden="1">'2026년 전체'!$A$1:$AY$20</definedName>
    <definedName name="Z_C8BF0FF5_0590_40B7_88B4_4157515957FC_.wvu.PrintArea" localSheetId="0" hidden="1">'2601월'!$A$1:$AY$39</definedName>
    <definedName name="Z_C8BF0FF5_0590_40B7_88B4_4157515957FC_.wvu.PrintArea" localSheetId="1" hidden="1">'2602월'!$A$1:$AY$36</definedName>
    <definedName name="Z_C8BF0FF5_0590_40B7_88B4_4157515957FC_.wvu.PrintArea" localSheetId="2" hidden="1">'2603월'!$A$1:$AY$39</definedName>
    <definedName name="Z_C8BF0FF5_0590_40B7_88B4_4157515957FC_.wvu.PrintArea" localSheetId="3" hidden="1">'2604월'!$A$1:$AY$38</definedName>
    <definedName name="Z_C8BF0FF5_0590_40B7_88B4_4157515957FC_.wvu.PrintArea" localSheetId="4" hidden="1">'2605월'!$A$1:$AY$39</definedName>
    <definedName name="Z_C8BF0FF5_0590_40B7_88B4_4157515957FC_.wvu.PrintArea" localSheetId="5" hidden="1">'2606월'!$A$1:$AY$38</definedName>
    <definedName name="Z_C8D431F8_899C_4012_9DDA_79BC96D76265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C8D431F8_899C_4012_9DDA_79BC96D76265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C8D431F8_899C_4012_9DDA_79BC96D76265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C8D431F8_899C_4012_9DDA_79BC96D76265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C8D431F8_899C_4012_9DDA_79BC96D76265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C8D431F8_899C_4012_9DDA_79BC96D76265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C8D431F8_899C_4012_9DDA_79BC96D76265_.wvu.PrintArea" localSheetId="6" hidden="1">'2024년 전체'!$A$1:$BN$20</definedName>
    <definedName name="Z_C8D431F8_899C_4012_9DDA_79BC96D76265_.wvu.PrintArea" localSheetId="7" hidden="1">'2025년 전체'!$A$1:$BN$20</definedName>
    <definedName name="Z_C8D431F8_899C_4012_9DDA_79BC96D76265_.wvu.PrintArea" localSheetId="8" hidden="1">'2026년 전체'!$A$1:$AY$20</definedName>
    <definedName name="Z_C8D431F8_899C_4012_9DDA_79BC96D76265_.wvu.PrintArea" localSheetId="0" hidden="1">'2601월'!$A$1:$AY$39</definedName>
    <definedName name="Z_C8D431F8_899C_4012_9DDA_79BC96D76265_.wvu.PrintArea" localSheetId="1" hidden="1">'2602월'!$A$1:$AY$36</definedName>
    <definedName name="Z_C8D431F8_899C_4012_9DDA_79BC96D76265_.wvu.PrintArea" localSheetId="2" hidden="1">'2603월'!$A$1:$AY$39</definedName>
    <definedName name="Z_C8D431F8_899C_4012_9DDA_79BC96D76265_.wvu.PrintArea" localSheetId="3" hidden="1">'2604월'!$A$1:$AY$38</definedName>
    <definedName name="Z_C8D431F8_899C_4012_9DDA_79BC96D76265_.wvu.PrintArea" localSheetId="4" hidden="1">'2605월'!$A$1:$AY$39</definedName>
    <definedName name="Z_C8D431F8_899C_4012_9DDA_79BC96D76265_.wvu.PrintArea" localSheetId="5" hidden="1">'2606월'!$A$1:$AY$38</definedName>
    <definedName name="Z_C94A3659_90F8_49FE_81E7_F25CE49DBB44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C94A3659_90F8_49FE_81E7_F25CE49DBB44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C94A3659_90F8_49FE_81E7_F25CE49DBB44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C94A3659_90F8_49FE_81E7_F25CE49DBB44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94A3659_90F8_49FE_81E7_F25CE49DBB44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94A3659_90F8_49FE_81E7_F25CE49DBB44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94A3659_90F8_49FE_81E7_F25CE49DBB44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94A3659_90F8_49FE_81E7_F25CE49DBB44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94A3659_90F8_49FE_81E7_F25CE49DBB44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94A3659_90F8_49FE_81E7_F25CE49DBB44_.wvu.PrintArea" localSheetId="6" hidden="1">'2024년 전체'!$A$1:$BN$20</definedName>
    <definedName name="Z_C94A3659_90F8_49FE_81E7_F25CE49DBB44_.wvu.PrintArea" localSheetId="7" hidden="1">'2025년 전체'!$A$1:$BN$20</definedName>
    <definedName name="Z_C94A3659_90F8_49FE_81E7_F25CE49DBB44_.wvu.PrintArea" localSheetId="8" hidden="1">'2026년 전체'!$A$1:$AY$20</definedName>
    <definedName name="Z_C94A3659_90F8_49FE_81E7_F25CE49DBB44_.wvu.PrintArea" localSheetId="0" hidden="1">'2601월'!$A$1:$AY$39</definedName>
    <definedName name="Z_C94A3659_90F8_49FE_81E7_F25CE49DBB44_.wvu.PrintArea" localSheetId="1" hidden="1">'2602월'!$A$1:$AY$36</definedName>
    <definedName name="Z_C94A3659_90F8_49FE_81E7_F25CE49DBB44_.wvu.PrintArea" localSheetId="2" hidden="1">'2603월'!$A$1:$AY$39</definedName>
    <definedName name="Z_C94A3659_90F8_49FE_81E7_F25CE49DBB44_.wvu.PrintArea" localSheetId="3" hidden="1">'2604월'!$A$1:$AY$38</definedName>
    <definedName name="Z_C94A3659_90F8_49FE_81E7_F25CE49DBB44_.wvu.PrintArea" localSheetId="4" hidden="1">'2605월'!$A$1:$AY$39</definedName>
    <definedName name="Z_C94A3659_90F8_49FE_81E7_F25CE49DBB44_.wvu.PrintArea" localSheetId="5" hidden="1">'2606월'!$A$1:$AY$38</definedName>
    <definedName name="Z_CA6F2F8E_5AB7_4469_A6EA_83279FD03399_.wvu.PrintArea" localSheetId="6" hidden="1">'2024년 전체'!$A$1:$BN$20</definedName>
    <definedName name="Z_CA6F2F8E_5AB7_4469_A6EA_83279FD03399_.wvu.PrintArea" localSheetId="7" hidden="1">'2025년 전체'!$A$1:$BN$20</definedName>
    <definedName name="Z_CA6F2F8E_5AB7_4469_A6EA_83279FD03399_.wvu.PrintArea" localSheetId="8" hidden="1">'2026년 전체'!$A$1:$AY$20</definedName>
    <definedName name="Z_CABC2032_80D8_4004_87E8_5D6F4531212E_.wvu.PrintArea" localSheetId="6" hidden="1">'2024년 전체'!$A$1:$BN$20</definedName>
    <definedName name="Z_CABC2032_80D8_4004_87E8_5D6F4531212E_.wvu.PrintArea" localSheetId="7" hidden="1">'2025년 전체'!$A$1:$BN$20</definedName>
    <definedName name="Z_CABC2032_80D8_4004_87E8_5D6F4531212E_.wvu.PrintArea" localSheetId="8" hidden="1">'2026년 전체'!$A$1:$AY$20</definedName>
    <definedName name="Z_CABC2032_80D8_4004_87E8_5D6F4531212E_.wvu.PrintArea" localSheetId="0" hidden="1">'2601월'!$A$1:$AY$39</definedName>
    <definedName name="Z_CABC2032_80D8_4004_87E8_5D6F4531212E_.wvu.PrintArea" localSheetId="1" hidden="1">'2602월'!$A$1:$AY$36</definedName>
    <definedName name="Z_CABC2032_80D8_4004_87E8_5D6F4531212E_.wvu.PrintArea" localSheetId="2" hidden="1">'2603월'!$A$1:$AY$39</definedName>
    <definedName name="Z_CABC2032_80D8_4004_87E8_5D6F4531212E_.wvu.PrintArea" localSheetId="3" hidden="1">'2604월'!$A$1:$AY$38</definedName>
    <definedName name="Z_CABC2032_80D8_4004_87E8_5D6F4531212E_.wvu.PrintArea" localSheetId="4" hidden="1">'2605월'!$A$1:$AY$39</definedName>
    <definedName name="Z_CABC2032_80D8_4004_87E8_5D6F4531212E_.wvu.PrintArea" localSheetId="5" hidden="1">'2606월'!$A$1:$AY$38</definedName>
    <definedName name="Z_CAEEA6F0_2DDD_49B0_915B_098AFC47B242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CAEEA6F0_2DDD_49B0_915B_098AFC47B242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CAEEA6F0_2DDD_49B0_915B_098AFC47B242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CAEEA6F0_2DDD_49B0_915B_098AFC47B242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CAEEA6F0_2DDD_49B0_915B_098AFC47B242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CAEEA6F0_2DDD_49B0_915B_098AFC47B242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CAEEA6F0_2DDD_49B0_915B_098AFC47B242_.wvu.PrintArea" localSheetId="6" hidden="1">'2024년 전체'!$A$1:$BN$20</definedName>
    <definedName name="Z_CAEEA6F0_2DDD_49B0_915B_098AFC47B242_.wvu.PrintArea" localSheetId="7" hidden="1">'2025년 전체'!$A$1:$BN$20</definedName>
    <definedName name="Z_CAEEA6F0_2DDD_49B0_915B_098AFC47B242_.wvu.PrintArea" localSheetId="8" hidden="1">'2026년 전체'!$A$1:$AY$20</definedName>
    <definedName name="Z_CAEEA6F0_2DDD_49B0_915B_098AFC47B242_.wvu.PrintArea" localSheetId="0" hidden="1">'2601월'!$A$1:$AY$39</definedName>
    <definedName name="Z_CAEEA6F0_2DDD_49B0_915B_098AFC47B242_.wvu.PrintArea" localSheetId="1" hidden="1">'2602월'!$A$1:$AY$36</definedName>
    <definedName name="Z_CAEEA6F0_2DDD_49B0_915B_098AFC47B242_.wvu.PrintArea" localSheetId="2" hidden="1">'2603월'!$A$1:$AY$39</definedName>
    <definedName name="Z_CAEEA6F0_2DDD_49B0_915B_098AFC47B242_.wvu.PrintArea" localSheetId="3" hidden="1">'2604월'!$A$1:$AY$38</definedName>
    <definedName name="Z_CAEEA6F0_2DDD_49B0_915B_098AFC47B242_.wvu.PrintArea" localSheetId="4" hidden="1">'2605월'!$A$1:$AY$39</definedName>
    <definedName name="Z_CAEEA6F0_2DDD_49B0_915B_098AFC47B242_.wvu.PrintArea" localSheetId="5" hidden="1">'2606월'!$A$1:$AY$38</definedName>
    <definedName name="Z_CB523647_048F_4F59_A8A7_0CACDD995F33_.wvu.PrintArea" localSheetId="6" hidden="1">'2024년 전체'!$A$1:$BR$20</definedName>
    <definedName name="Z_CB523647_048F_4F59_A8A7_0CACDD995F33_.wvu.PrintArea" localSheetId="7" hidden="1">'2025년 전체'!$A$1:$BR$20</definedName>
    <definedName name="Z_CB523647_048F_4F59_A8A7_0CACDD995F33_.wvu.PrintArea" localSheetId="8" hidden="1">'2026년 전체'!$A$1:$BC$20</definedName>
    <definedName name="Z_CB523647_048F_4F59_A8A7_0CACDD995F33_.wvu.PrintArea" localSheetId="0" hidden="1">'2601월'!$A$1:$BC$39</definedName>
    <definedName name="Z_CB523647_048F_4F59_A8A7_0CACDD995F33_.wvu.PrintArea" localSheetId="1" hidden="1">'2602월'!$A$1:$BC$36</definedName>
    <definedName name="Z_CB523647_048F_4F59_A8A7_0CACDD995F33_.wvu.PrintArea" localSheetId="2" hidden="1">'2603월'!$A$1:$BC$39</definedName>
    <definedName name="Z_CB523647_048F_4F59_A8A7_0CACDD995F33_.wvu.PrintArea" localSheetId="3" hidden="1">'2604월'!$A$1:$BC$38</definedName>
    <definedName name="Z_CB523647_048F_4F59_A8A7_0CACDD995F33_.wvu.PrintArea" localSheetId="4" hidden="1">'2605월'!$A$1:$BC$39</definedName>
    <definedName name="Z_CB523647_048F_4F59_A8A7_0CACDD995F33_.wvu.PrintArea" localSheetId="5" hidden="1">'2606월'!$A$1:$BC$38</definedName>
    <definedName name="Z_CBF235C8_CAA9_422B_8888_BF46150A761E_.wvu.PrintArea" localSheetId="6" hidden="1">'2024년 전체'!$A$1:$BR$20</definedName>
    <definedName name="Z_CBF235C8_CAA9_422B_8888_BF46150A761E_.wvu.PrintArea" localSheetId="7" hidden="1">'2025년 전체'!$A$1:$BR$20</definedName>
    <definedName name="Z_CBF235C8_CAA9_422B_8888_BF46150A761E_.wvu.PrintArea" localSheetId="8" hidden="1">'2026년 전체'!$A$1:$BC$20</definedName>
    <definedName name="Z_CBF235C8_CAA9_422B_8888_BF46150A761E_.wvu.PrintArea" localSheetId="0" hidden="1">'2601월'!$A$1:$BC$39</definedName>
    <definedName name="Z_CBF235C8_CAA9_422B_8888_BF46150A761E_.wvu.PrintArea" localSheetId="1" hidden="1">'2602월'!$A$1:$BC$36</definedName>
    <definedName name="Z_CBF235C8_CAA9_422B_8888_BF46150A761E_.wvu.PrintArea" localSheetId="2" hidden="1">'2603월'!$A$1:$BC$39</definedName>
    <definedName name="Z_CBF235C8_CAA9_422B_8888_BF46150A761E_.wvu.PrintArea" localSheetId="3" hidden="1">'2604월'!$A$1:$BC$38</definedName>
    <definedName name="Z_CBF235C8_CAA9_422B_8888_BF46150A761E_.wvu.PrintArea" localSheetId="4" hidden="1">'2605월'!$A$1:$BC$39</definedName>
    <definedName name="Z_CBF235C8_CAA9_422B_8888_BF46150A761E_.wvu.PrintArea" localSheetId="5" hidden="1">'2606월'!$A$1:$BC$38</definedName>
    <definedName name="Z_CC9F940C_65DF_4065_A700_EDD3DF3600DD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전체'!$BK:$BL,'2024년 전체'!$BO:$BT</definedName>
    <definedName name="Z_CC9F940C_65DF_4065_A700_EDD3DF3600DD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전체'!$BK:$BL,'2025년 전체'!$BO:$BT</definedName>
    <definedName name="Z_CC9F940C_65DF_4065_A700_EDD3DF3600DD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전체'!$AV:$AW,'2026년 전체'!$AZ:$BE</definedName>
    <definedName name="Z_CC9F940C_65DF_4065_A700_EDD3DF3600DD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CC9F940C_65DF_4065_A700_EDD3DF3600DD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CC9F940C_65DF_4065_A700_EDD3DF3600DD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CC9F940C_65DF_4065_A700_EDD3DF3600DD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CC9F940C_65DF_4065_A700_EDD3DF3600DD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CC9F940C_65DF_4065_A700_EDD3DF3600DD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CC9F940C_65DF_4065_A700_EDD3DF3600DD_.wvu.PrintArea" localSheetId="6" hidden="1">'2024년 전체'!$A$1:$BN$20</definedName>
    <definedName name="Z_CC9F940C_65DF_4065_A700_EDD3DF3600DD_.wvu.PrintArea" localSheetId="7" hidden="1">'2025년 전체'!$A$1:$BN$20</definedName>
    <definedName name="Z_CC9F940C_65DF_4065_A700_EDD3DF3600DD_.wvu.PrintArea" localSheetId="8" hidden="1">'2026년 전체'!$A$1:$AY$20</definedName>
    <definedName name="Z_CC9F940C_65DF_4065_A700_EDD3DF3600DD_.wvu.PrintArea" localSheetId="0" hidden="1">'2601월'!$A$1:$AY$39</definedName>
    <definedName name="Z_CC9F940C_65DF_4065_A700_EDD3DF3600DD_.wvu.PrintArea" localSheetId="1" hidden="1">'2602월'!$A$1:$AY$36</definedName>
    <definedName name="Z_CC9F940C_65DF_4065_A700_EDD3DF3600DD_.wvu.PrintArea" localSheetId="2" hidden="1">'2603월'!$A$1:$AY$39</definedName>
    <definedName name="Z_CC9F940C_65DF_4065_A700_EDD3DF3600DD_.wvu.PrintArea" localSheetId="3" hidden="1">'2604월'!$A$1:$AY$38</definedName>
    <definedName name="Z_CC9F940C_65DF_4065_A700_EDD3DF3600DD_.wvu.PrintArea" localSheetId="4" hidden="1">'2605월'!$A$1:$AY$39</definedName>
    <definedName name="Z_CC9F940C_65DF_4065_A700_EDD3DF3600DD_.wvu.PrintArea" localSheetId="5" hidden="1">'2606월'!$A$1:$AY$38</definedName>
    <definedName name="Z_CF1FF20C_9C08_4EF7_9D18_62F5DD9DB8D1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CF1FF20C_9C08_4EF7_9D18_62F5DD9DB8D1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CF1FF20C_9C08_4EF7_9D18_62F5DD9DB8D1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CF1FF20C_9C08_4EF7_9D18_62F5DD9DB8D1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CF1FF20C_9C08_4EF7_9D18_62F5DD9DB8D1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CF1FF20C_9C08_4EF7_9D18_62F5DD9DB8D1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CF1FF20C_9C08_4EF7_9D18_62F5DD9DB8D1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CF1FF20C_9C08_4EF7_9D18_62F5DD9DB8D1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CF1FF20C_9C08_4EF7_9D18_62F5DD9DB8D1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CF1FF20C_9C08_4EF7_9D18_62F5DD9DB8D1_.wvu.PrintArea" localSheetId="6" hidden="1">'2024년 전체'!$A$1:$BN$20</definedName>
    <definedName name="Z_CF1FF20C_9C08_4EF7_9D18_62F5DD9DB8D1_.wvu.PrintArea" localSheetId="7" hidden="1">'2025년 전체'!$A$1:$BN$20</definedName>
    <definedName name="Z_CF1FF20C_9C08_4EF7_9D18_62F5DD9DB8D1_.wvu.PrintArea" localSheetId="8" hidden="1">'2026년 전체'!$A$1:$AY$20</definedName>
    <definedName name="Z_CF1FF20C_9C08_4EF7_9D18_62F5DD9DB8D1_.wvu.PrintArea" localSheetId="0" hidden="1">'2601월'!$A$1:$AY$39</definedName>
    <definedName name="Z_CF1FF20C_9C08_4EF7_9D18_62F5DD9DB8D1_.wvu.PrintArea" localSheetId="1" hidden="1">'2602월'!$A$1:$AY$36</definedName>
    <definedName name="Z_CF1FF20C_9C08_4EF7_9D18_62F5DD9DB8D1_.wvu.PrintArea" localSheetId="2" hidden="1">'2603월'!$A$1:$AY$39</definedName>
    <definedName name="Z_CF1FF20C_9C08_4EF7_9D18_62F5DD9DB8D1_.wvu.PrintArea" localSheetId="3" hidden="1">'2604월'!$A$1:$AY$38</definedName>
    <definedName name="Z_CF1FF20C_9C08_4EF7_9D18_62F5DD9DB8D1_.wvu.PrintArea" localSheetId="4" hidden="1">'2605월'!$A$1:$AY$39</definedName>
    <definedName name="Z_CF1FF20C_9C08_4EF7_9D18_62F5DD9DB8D1_.wvu.PrintArea" localSheetId="5" hidden="1">'2606월'!$A$1:$AY$38</definedName>
    <definedName name="Z_D04AA331_06E4_4403_9BE8_84821AF5EC2D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D04AA331_06E4_4403_9BE8_84821AF5EC2D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D04AA331_06E4_4403_9BE8_84821AF5EC2D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D04AA331_06E4_4403_9BE8_84821AF5EC2D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04AA331_06E4_4403_9BE8_84821AF5EC2D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04AA331_06E4_4403_9BE8_84821AF5EC2D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04AA331_06E4_4403_9BE8_84821AF5EC2D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04AA331_06E4_4403_9BE8_84821AF5EC2D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04AA331_06E4_4403_9BE8_84821AF5EC2D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04AA331_06E4_4403_9BE8_84821AF5EC2D_.wvu.PrintArea" localSheetId="6" hidden="1">'2024년 전체'!$A$1:$BN$20</definedName>
    <definedName name="Z_D04AA331_06E4_4403_9BE8_84821AF5EC2D_.wvu.PrintArea" localSheetId="7" hidden="1">'2025년 전체'!$A$1:$BN$20</definedName>
    <definedName name="Z_D04AA331_06E4_4403_9BE8_84821AF5EC2D_.wvu.PrintArea" localSheetId="8" hidden="1">'2026년 전체'!$A$1:$AY$20</definedName>
    <definedName name="Z_D04AA331_06E4_4403_9BE8_84821AF5EC2D_.wvu.PrintArea" localSheetId="0" hidden="1">'2601월'!$A$1:$AY$39</definedName>
    <definedName name="Z_D04AA331_06E4_4403_9BE8_84821AF5EC2D_.wvu.PrintArea" localSheetId="1" hidden="1">'2602월'!$A$1:$AY$36</definedName>
    <definedName name="Z_D04AA331_06E4_4403_9BE8_84821AF5EC2D_.wvu.PrintArea" localSheetId="2" hidden="1">'2603월'!$A$1:$AY$39</definedName>
    <definedName name="Z_D04AA331_06E4_4403_9BE8_84821AF5EC2D_.wvu.PrintArea" localSheetId="3" hidden="1">'2604월'!$A$1:$AY$38</definedName>
    <definedName name="Z_D04AA331_06E4_4403_9BE8_84821AF5EC2D_.wvu.PrintArea" localSheetId="4" hidden="1">'2605월'!$A$1:$AY$39</definedName>
    <definedName name="Z_D04AA331_06E4_4403_9BE8_84821AF5EC2D_.wvu.PrintArea" localSheetId="5" hidden="1">'2606월'!$A$1:$AY$38</definedName>
    <definedName name="Z_D392CFE5_9754_418C_A1C2_3219D700ECE9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D392CFE5_9754_418C_A1C2_3219D700ECE9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D392CFE5_9754_418C_A1C2_3219D700ECE9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D392CFE5_9754_418C_A1C2_3219D700ECE9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D392CFE5_9754_418C_A1C2_3219D700ECE9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D392CFE5_9754_418C_A1C2_3219D700ECE9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D392CFE5_9754_418C_A1C2_3219D700ECE9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D392CFE5_9754_418C_A1C2_3219D700ECE9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D392CFE5_9754_418C_A1C2_3219D700ECE9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D392CFE5_9754_418C_A1C2_3219D700ECE9_.wvu.PrintArea" localSheetId="6" hidden="1">'2024년 전체'!$A$1:$BN$20</definedName>
    <definedName name="Z_D392CFE5_9754_418C_A1C2_3219D700ECE9_.wvu.PrintArea" localSheetId="7" hidden="1">'2025년 전체'!$A$1:$BN$20</definedName>
    <definedName name="Z_D392CFE5_9754_418C_A1C2_3219D700ECE9_.wvu.PrintArea" localSheetId="8" hidden="1">'2026년 전체'!$A$1:$AY$20</definedName>
    <definedName name="Z_D392CFE5_9754_418C_A1C2_3219D700ECE9_.wvu.PrintArea" localSheetId="0" hidden="1">'2601월'!$A$1:$AY$39</definedName>
    <definedName name="Z_D392CFE5_9754_418C_A1C2_3219D700ECE9_.wvu.PrintArea" localSheetId="1" hidden="1">'2602월'!$A$1:$AY$36</definedName>
    <definedName name="Z_D392CFE5_9754_418C_A1C2_3219D700ECE9_.wvu.PrintArea" localSheetId="2" hidden="1">'2603월'!$A$1:$AY$39</definedName>
    <definedName name="Z_D392CFE5_9754_418C_A1C2_3219D700ECE9_.wvu.PrintArea" localSheetId="3" hidden="1">'2604월'!$A$1:$AY$38</definedName>
    <definedName name="Z_D392CFE5_9754_418C_A1C2_3219D700ECE9_.wvu.PrintArea" localSheetId="4" hidden="1">'2605월'!$A$1:$AY$39</definedName>
    <definedName name="Z_D392CFE5_9754_418C_A1C2_3219D700ECE9_.wvu.PrintArea" localSheetId="5" hidden="1">'2606월'!$A$1:$AY$38</definedName>
    <definedName name="Z_D3B4ADE1_2CA6_4883_AC08_7CAA9F2D4BE7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3B4ADE1_2CA6_4883_AC08_7CAA9F2D4BE7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3B4ADE1_2CA6_4883_AC08_7CAA9F2D4BE7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3B4ADE1_2CA6_4883_AC08_7CAA9F2D4BE7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3B4ADE1_2CA6_4883_AC08_7CAA9F2D4BE7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3B4ADE1_2CA6_4883_AC08_7CAA9F2D4BE7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3B4ADE1_2CA6_4883_AC08_7CAA9F2D4BE7_.wvu.PrintArea" localSheetId="6" hidden="1">'2024년 전체'!$A$1:$BN$20</definedName>
    <definedName name="Z_D3B4ADE1_2CA6_4883_AC08_7CAA9F2D4BE7_.wvu.PrintArea" localSheetId="7" hidden="1">'2025년 전체'!$A$1:$BN$20</definedName>
    <definedName name="Z_D3B4ADE1_2CA6_4883_AC08_7CAA9F2D4BE7_.wvu.PrintArea" localSheetId="8" hidden="1">'2026년 전체'!$A$1:$AY$20</definedName>
    <definedName name="Z_D3B4ADE1_2CA6_4883_AC08_7CAA9F2D4BE7_.wvu.PrintArea" localSheetId="0" hidden="1">'2601월'!$A$1:$AY$39</definedName>
    <definedName name="Z_D3B4ADE1_2CA6_4883_AC08_7CAA9F2D4BE7_.wvu.PrintArea" localSheetId="1" hidden="1">'2602월'!$A$1:$AY$36</definedName>
    <definedName name="Z_D3B4ADE1_2CA6_4883_AC08_7CAA9F2D4BE7_.wvu.PrintArea" localSheetId="2" hidden="1">'2603월'!$A$1:$AY$39</definedName>
    <definedName name="Z_D3B4ADE1_2CA6_4883_AC08_7CAA9F2D4BE7_.wvu.PrintArea" localSheetId="3" hidden="1">'2604월'!$A$1:$AY$38</definedName>
    <definedName name="Z_D3B4ADE1_2CA6_4883_AC08_7CAA9F2D4BE7_.wvu.PrintArea" localSheetId="4" hidden="1">'2605월'!$A$1:$AY$39</definedName>
    <definedName name="Z_D3B4ADE1_2CA6_4883_AC08_7CAA9F2D4BE7_.wvu.PrintArea" localSheetId="5" hidden="1">'2606월'!$A$1:$AY$38</definedName>
    <definedName name="Z_D6D968EF_232E_44C8_8C24_803B119A4912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D6D968EF_232E_44C8_8C24_803B119A4912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D6D968EF_232E_44C8_8C24_803B119A4912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D6D968EF_232E_44C8_8C24_803B119A4912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D6D968EF_232E_44C8_8C24_803B119A4912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D6D968EF_232E_44C8_8C24_803B119A4912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D6D968EF_232E_44C8_8C24_803B119A4912_.wvu.PrintArea" localSheetId="6" hidden="1">'2024년 전체'!$A$1:$BN$20</definedName>
    <definedName name="Z_D6D968EF_232E_44C8_8C24_803B119A4912_.wvu.PrintArea" localSheetId="7" hidden="1">'2025년 전체'!$A$1:$BN$20</definedName>
    <definedName name="Z_D6D968EF_232E_44C8_8C24_803B119A4912_.wvu.PrintArea" localSheetId="8" hidden="1">'2026년 전체'!$A$1:$AY$20</definedName>
    <definedName name="Z_D6D968EF_232E_44C8_8C24_803B119A4912_.wvu.PrintArea" localSheetId="0" hidden="1">'2601월'!$A$1:$AY$39</definedName>
    <definedName name="Z_D6D968EF_232E_44C8_8C24_803B119A4912_.wvu.PrintArea" localSheetId="1" hidden="1">'2602월'!$A$1:$AY$36</definedName>
    <definedName name="Z_D6D968EF_232E_44C8_8C24_803B119A4912_.wvu.PrintArea" localSheetId="2" hidden="1">'2603월'!$A$1:$AY$39</definedName>
    <definedName name="Z_D6D968EF_232E_44C8_8C24_803B119A4912_.wvu.PrintArea" localSheetId="3" hidden="1">'2604월'!$A$1:$AY$38</definedName>
    <definedName name="Z_D6D968EF_232E_44C8_8C24_803B119A4912_.wvu.PrintArea" localSheetId="4" hidden="1">'2605월'!$A$1:$AY$39</definedName>
    <definedName name="Z_D6D968EF_232E_44C8_8C24_803B119A4912_.wvu.PrintArea" localSheetId="5" hidden="1">'2606월'!$A$1:$AY$38</definedName>
    <definedName name="Z_D814A03C_800D_460F_B685_6A666AF69FCC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D814A03C_800D_460F_B685_6A666AF69FCC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D814A03C_800D_460F_B685_6A666AF69FCC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D814A03C_800D_460F_B685_6A666AF69FCC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814A03C_800D_460F_B685_6A666AF69FCC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814A03C_800D_460F_B685_6A666AF69FCC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814A03C_800D_460F_B685_6A666AF69FCC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814A03C_800D_460F_B685_6A666AF69FCC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814A03C_800D_460F_B685_6A666AF69FCC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814A03C_800D_460F_B685_6A666AF69FCC_.wvu.PrintArea" localSheetId="6" hidden="1">'2024년 전체'!$A$1:$BN$20</definedName>
    <definedName name="Z_D814A03C_800D_460F_B685_6A666AF69FCC_.wvu.PrintArea" localSheetId="7" hidden="1">'2025년 전체'!$A$1:$BN$20</definedName>
    <definedName name="Z_D814A03C_800D_460F_B685_6A666AF69FCC_.wvu.PrintArea" localSheetId="8" hidden="1">'2026년 전체'!$A$1:$AY$20</definedName>
    <definedName name="Z_D814A03C_800D_460F_B685_6A666AF69FCC_.wvu.PrintArea" localSheetId="0" hidden="1">'2601월'!$A$1:$AY$39</definedName>
    <definedName name="Z_D814A03C_800D_460F_B685_6A666AF69FCC_.wvu.PrintArea" localSheetId="1" hidden="1">'2602월'!$A$1:$AY$36</definedName>
    <definedName name="Z_D814A03C_800D_460F_B685_6A666AF69FCC_.wvu.PrintArea" localSheetId="2" hidden="1">'2603월'!$A$1:$AY$39</definedName>
    <definedName name="Z_D814A03C_800D_460F_B685_6A666AF69FCC_.wvu.PrintArea" localSheetId="3" hidden="1">'2604월'!$A$1:$AY$38</definedName>
    <definedName name="Z_D814A03C_800D_460F_B685_6A666AF69FCC_.wvu.PrintArea" localSheetId="4" hidden="1">'2605월'!$A$1:$AY$39</definedName>
    <definedName name="Z_D814A03C_800D_460F_B685_6A666AF69FCC_.wvu.PrintArea" localSheetId="5" hidden="1">'2606월'!$A$1:$AY$38</definedName>
    <definedName name="Z_D9B0ACB6_A4BD_49E4_8C70_9C6AF7FD491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D9B0ACB6_A4BD_49E4_8C70_9C6AF7FD491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D9B0ACB6_A4BD_49E4_8C70_9C6AF7FD491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D9B0ACB6_A4BD_49E4_8C70_9C6AF7FD491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9B0ACB6_A4BD_49E4_8C70_9C6AF7FD491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9B0ACB6_A4BD_49E4_8C70_9C6AF7FD491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9B0ACB6_A4BD_49E4_8C70_9C6AF7FD491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9B0ACB6_A4BD_49E4_8C70_9C6AF7FD491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9B0ACB6_A4BD_49E4_8C70_9C6AF7FD491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9B0ACB6_A4BD_49E4_8C70_9C6AF7FD4916_.wvu.PrintArea" localSheetId="6" hidden="1">'2024년 전체'!$A$1:$BR$20</definedName>
    <definedName name="Z_D9B0ACB6_A4BD_49E4_8C70_9C6AF7FD4916_.wvu.PrintArea" localSheetId="7" hidden="1">'2025년 전체'!$A$1:$BR$20</definedName>
    <definedName name="Z_D9B0ACB6_A4BD_49E4_8C70_9C6AF7FD4916_.wvu.PrintArea" localSheetId="8" hidden="1">'2026년 전체'!$A$1:$BC$20</definedName>
    <definedName name="Z_D9B0ACB6_A4BD_49E4_8C70_9C6AF7FD4916_.wvu.PrintArea" localSheetId="0" hidden="1">'2601월'!$A$1:$BC$39</definedName>
    <definedName name="Z_D9B0ACB6_A4BD_49E4_8C70_9C6AF7FD4916_.wvu.PrintArea" localSheetId="1" hidden="1">'2602월'!$A$1:$BC$36</definedName>
    <definedName name="Z_D9B0ACB6_A4BD_49E4_8C70_9C6AF7FD4916_.wvu.PrintArea" localSheetId="2" hidden="1">'2603월'!$A$1:$BC$39</definedName>
    <definedName name="Z_D9B0ACB6_A4BD_49E4_8C70_9C6AF7FD4916_.wvu.PrintArea" localSheetId="3" hidden="1">'2604월'!$A$1:$BC$38</definedName>
    <definedName name="Z_D9B0ACB6_A4BD_49E4_8C70_9C6AF7FD4916_.wvu.PrintArea" localSheetId="4" hidden="1">'2605월'!$A$1:$BC$39</definedName>
    <definedName name="Z_D9B0ACB6_A4BD_49E4_8C70_9C6AF7FD4916_.wvu.PrintArea" localSheetId="5" hidden="1">'2606월'!$A$1:$BC$38</definedName>
    <definedName name="Z_DC12184A_EAB0_4C6A_9EE0_7C4EAF7C7D98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DC12184A_EAB0_4C6A_9EE0_7C4EAF7C7D98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DC12184A_EAB0_4C6A_9EE0_7C4EAF7C7D98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DC12184A_EAB0_4C6A_9EE0_7C4EAF7C7D98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C12184A_EAB0_4C6A_9EE0_7C4EAF7C7D98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C12184A_EAB0_4C6A_9EE0_7C4EAF7C7D98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C12184A_EAB0_4C6A_9EE0_7C4EAF7C7D98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C12184A_EAB0_4C6A_9EE0_7C4EAF7C7D98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C12184A_EAB0_4C6A_9EE0_7C4EAF7C7D98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C12184A_EAB0_4C6A_9EE0_7C4EAF7C7D98_.wvu.PrintArea" localSheetId="6" hidden="1">'2024년 전체'!$A$1:$BN$20</definedName>
    <definedName name="Z_DC12184A_EAB0_4C6A_9EE0_7C4EAF7C7D98_.wvu.PrintArea" localSheetId="7" hidden="1">'2025년 전체'!$A$1:$BN$20</definedName>
    <definedName name="Z_DC12184A_EAB0_4C6A_9EE0_7C4EAF7C7D98_.wvu.PrintArea" localSheetId="8" hidden="1">'2026년 전체'!$A$1:$AY$20</definedName>
    <definedName name="Z_DC12184A_EAB0_4C6A_9EE0_7C4EAF7C7D98_.wvu.PrintArea" localSheetId="0" hidden="1">'2601월'!$A$1:$AY$39</definedName>
    <definedName name="Z_DC12184A_EAB0_4C6A_9EE0_7C4EAF7C7D98_.wvu.PrintArea" localSheetId="1" hidden="1">'2602월'!$A$1:$AY$36</definedName>
    <definedName name="Z_DC12184A_EAB0_4C6A_9EE0_7C4EAF7C7D98_.wvu.PrintArea" localSheetId="2" hidden="1">'2603월'!$A$1:$AY$39</definedName>
    <definedName name="Z_DC12184A_EAB0_4C6A_9EE0_7C4EAF7C7D98_.wvu.PrintArea" localSheetId="3" hidden="1">'2604월'!$A$1:$AY$38</definedName>
    <definedName name="Z_DC12184A_EAB0_4C6A_9EE0_7C4EAF7C7D98_.wvu.PrintArea" localSheetId="4" hidden="1">'2605월'!$A$1:$AY$39</definedName>
    <definedName name="Z_DC12184A_EAB0_4C6A_9EE0_7C4EAF7C7D98_.wvu.PrintArea" localSheetId="5" hidden="1">'2606월'!$A$1:$AY$38</definedName>
    <definedName name="Z_DEFD4758_D946_43DA_8FE1_0C30D3FD7520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EFD4758_D946_43DA_8FE1_0C30D3FD7520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EFD4758_D946_43DA_8FE1_0C30D3FD7520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EFD4758_D946_43DA_8FE1_0C30D3FD7520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EFD4758_D946_43DA_8FE1_0C30D3FD7520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EFD4758_D946_43DA_8FE1_0C30D3FD7520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EFD4758_D946_43DA_8FE1_0C30D3FD7520_.wvu.PrintArea" localSheetId="0" hidden="1">'2601월'!$A$1:$AY$39</definedName>
    <definedName name="Z_DEFD4758_D946_43DA_8FE1_0C30D3FD7520_.wvu.PrintArea" localSheetId="1" hidden="1">'2602월'!$A$1:$AY$36</definedName>
    <definedName name="Z_DEFD4758_D946_43DA_8FE1_0C30D3FD7520_.wvu.PrintArea" localSheetId="2" hidden="1">'2603월'!$A$1:$AY$39</definedName>
    <definedName name="Z_DEFD4758_D946_43DA_8FE1_0C30D3FD7520_.wvu.PrintArea" localSheetId="3" hidden="1">'2604월'!$A$1:$AY$38</definedName>
    <definedName name="Z_DEFD4758_D946_43DA_8FE1_0C30D3FD7520_.wvu.PrintArea" localSheetId="4" hidden="1">'2605월'!$A$1:$AY$39</definedName>
    <definedName name="Z_DEFD4758_D946_43DA_8FE1_0C30D3FD7520_.wvu.PrintArea" localSheetId="5" hidden="1">'2606월'!$A$1:$AY$38</definedName>
    <definedName name="Z_DF91D7C6_4037_49E9_8C59_EA8047A6415D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DF91D7C6_4037_49E9_8C59_EA8047A6415D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DF91D7C6_4037_49E9_8C59_EA8047A6415D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DF91D7C6_4037_49E9_8C59_EA8047A6415D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DF91D7C6_4037_49E9_8C59_EA8047A6415D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DF91D7C6_4037_49E9_8C59_EA8047A6415D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DF91D7C6_4037_49E9_8C59_EA8047A6415D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DF91D7C6_4037_49E9_8C59_EA8047A6415D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DF91D7C6_4037_49E9_8C59_EA8047A6415D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DF91D7C6_4037_49E9_8C59_EA8047A6415D_.wvu.PrintArea" localSheetId="6" hidden="1">'2024년 전체'!$A$1:$BN$20</definedName>
    <definedName name="Z_DF91D7C6_4037_49E9_8C59_EA8047A6415D_.wvu.PrintArea" localSheetId="7" hidden="1">'2025년 전체'!$A$1:$BN$20</definedName>
    <definedName name="Z_DF91D7C6_4037_49E9_8C59_EA8047A6415D_.wvu.PrintArea" localSheetId="8" hidden="1">'2026년 전체'!$A$1:$AY$20</definedName>
    <definedName name="Z_DF91D7C6_4037_49E9_8C59_EA8047A6415D_.wvu.PrintArea" localSheetId="0" hidden="1">'2601월'!$A$1:$AY$39</definedName>
    <definedName name="Z_DF91D7C6_4037_49E9_8C59_EA8047A6415D_.wvu.PrintArea" localSheetId="1" hidden="1">'2602월'!$A$1:$AY$36</definedName>
    <definedName name="Z_DF91D7C6_4037_49E9_8C59_EA8047A6415D_.wvu.PrintArea" localSheetId="2" hidden="1">'2603월'!$A$1:$AY$39</definedName>
    <definedName name="Z_DF91D7C6_4037_49E9_8C59_EA8047A6415D_.wvu.PrintArea" localSheetId="3" hidden="1">'2604월'!$A$1:$AY$38</definedName>
    <definedName name="Z_DF91D7C6_4037_49E9_8C59_EA8047A6415D_.wvu.PrintArea" localSheetId="4" hidden="1">'2605월'!$A$1:$AY$39</definedName>
    <definedName name="Z_DF91D7C6_4037_49E9_8C59_EA8047A6415D_.wvu.PrintArea" localSheetId="5" hidden="1">'2606월'!$A$1:$AY$38</definedName>
    <definedName name="Z_E01778C6_9889_4EFE_9771_2D9E85534DF3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E01778C6_9889_4EFE_9771_2D9E85534DF3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E01778C6_9889_4EFE_9771_2D9E85534DF3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E01778C6_9889_4EFE_9771_2D9E85534DF3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E01778C6_9889_4EFE_9771_2D9E85534DF3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E01778C6_9889_4EFE_9771_2D9E85534DF3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E01778C6_9889_4EFE_9771_2D9E85534DF3_.wvu.PrintArea" localSheetId="6" hidden="1">'2024년 전체'!$A$1:$BN$20</definedName>
    <definedName name="Z_E01778C6_9889_4EFE_9771_2D9E85534DF3_.wvu.PrintArea" localSheetId="7" hidden="1">'2025년 전체'!$A$1:$BN$20</definedName>
    <definedName name="Z_E01778C6_9889_4EFE_9771_2D9E85534DF3_.wvu.PrintArea" localSheetId="8" hidden="1">'2026년 전체'!$A$1:$AY$20</definedName>
    <definedName name="Z_E01778C6_9889_4EFE_9771_2D9E85534DF3_.wvu.PrintArea" localSheetId="0" hidden="1">'2601월'!$A$1:$AY$39</definedName>
    <definedName name="Z_E01778C6_9889_4EFE_9771_2D9E85534DF3_.wvu.PrintArea" localSheetId="1" hidden="1">'2602월'!$A$1:$AY$36</definedName>
    <definedName name="Z_E01778C6_9889_4EFE_9771_2D9E85534DF3_.wvu.PrintArea" localSheetId="2" hidden="1">'2603월'!$A$1:$AY$39</definedName>
    <definedName name="Z_E01778C6_9889_4EFE_9771_2D9E85534DF3_.wvu.PrintArea" localSheetId="3" hidden="1">'2604월'!$A$1:$AY$38</definedName>
    <definedName name="Z_E01778C6_9889_4EFE_9771_2D9E85534DF3_.wvu.PrintArea" localSheetId="4" hidden="1">'2605월'!$A$1:$AY$39</definedName>
    <definedName name="Z_E01778C6_9889_4EFE_9771_2D9E85534DF3_.wvu.PrintArea" localSheetId="5" hidden="1">'2606월'!$A$1:$AY$38</definedName>
    <definedName name="Z_E1CA8340_FF51_4D5E_93F9_0F059A9CBF93_.wvu.Cols" localSheetId="0" hidden="1">'2601월'!$C:$C,'2601월'!$F:$F,'2601월'!$H:$O,'2601월'!$Q:$Q,'2601월'!$T:$T,'2601월'!$V:$AC,'2601월'!#REF!,'2601월'!#REF!,'2601월'!#REF!,'2601월'!$AE:$AE,'2601월'!$AH:$AO,'2601월'!$AQ:$AQ,'2601월'!$AV:$AW,'2601월'!$AZ:$BD</definedName>
    <definedName name="Z_E1CA8340_FF51_4D5E_93F9_0F059A9CBF93_.wvu.Cols" localSheetId="1" hidden="1">'2602월'!$C:$C,'2602월'!$F:$F,'2602월'!$H:$O,'2602월'!$Q:$Q,'2602월'!$T:$T,'2602월'!$V:$AC,'2602월'!#REF!,'2602월'!#REF!,'2602월'!#REF!,'2602월'!$AE:$AE,'2602월'!$AH:$AO,'2602월'!$AQ:$AQ,'2602월'!$AV:$AW,'2602월'!$AZ:$BD</definedName>
    <definedName name="Z_E1CA8340_FF51_4D5E_93F9_0F059A9CBF93_.wvu.Cols" localSheetId="2" hidden="1">'2603월'!$C:$C,'2603월'!$F:$F,'2603월'!$H:$O,'2603월'!$Q:$Q,'2603월'!$T:$T,'2603월'!$V:$AC,'2603월'!#REF!,'2603월'!#REF!,'2603월'!#REF!,'2603월'!$AE:$AE,'2603월'!$AH:$AO,'2603월'!$AQ:$AQ,'2603월'!$AV:$AW,'2603월'!$AZ:$BD</definedName>
    <definedName name="Z_E1CA8340_FF51_4D5E_93F9_0F059A9CBF93_.wvu.Cols" localSheetId="3" hidden="1">'2604월'!$C:$C,'2604월'!$F:$F,'2604월'!$H:$O,'2604월'!$Q:$Q,'2604월'!$T:$T,'2604월'!$V:$AC,'2604월'!#REF!,'2604월'!#REF!,'2604월'!#REF!,'2604월'!$AE:$AE,'2604월'!$AH:$AO,'2604월'!$AQ:$AQ,'2604월'!$AV:$AW,'2604월'!$AZ:$BD</definedName>
    <definedName name="Z_E1CA8340_FF51_4D5E_93F9_0F059A9CBF93_.wvu.Cols" localSheetId="4" hidden="1">'2605월'!$C:$C,'2605월'!$F:$F,'2605월'!$H:$O,'2605월'!$Q:$Q,'2605월'!$T:$T,'2605월'!$V:$AC,'2605월'!#REF!,'2605월'!#REF!,'2605월'!#REF!,'2605월'!$AE:$AE,'2605월'!$AH:$AO,'2605월'!$AQ:$AQ,'2605월'!$AV:$AW,'2605월'!$AZ:$BD</definedName>
    <definedName name="Z_E1CA8340_FF51_4D5E_93F9_0F059A9CBF93_.wvu.Cols" localSheetId="5" hidden="1">'2606월'!$C:$C,'2606월'!$F:$F,'2606월'!$H:$O,'2606월'!$Q:$Q,'2606월'!$T:$T,'2606월'!$V:$AC,'2606월'!#REF!,'2606월'!#REF!,'2606월'!#REF!,'2606월'!$AE:$AE,'2606월'!$AH:$AO,'2606월'!$AQ:$AQ,'2606월'!$AV:$AW,'2606월'!$AZ:$BD</definedName>
    <definedName name="Z_E1CA8340_FF51_4D5E_93F9_0F059A9CBF93_.wvu.PrintArea" localSheetId="6" hidden="1">'2024년 전체'!$A$1:$BN$20</definedName>
    <definedName name="Z_E1CA8340_FF51_4D5E_93F9_0F059A9CBF93_.wvu.PrintArea" localSheetId="7" hidden="1">'2025년 전체'!$A$1:$BN$20</definedName>
    <definedName name="Z_E1CA8340_FF51_4D5E_93F9_0F059A9CBF93_.wvu.PrintArea" localSheetId="8" hidden="1">'2026년 전체'!$A$1:$AY$20</definedName>
    <definedName name="Z_E1CA8340_FF51_4D5E_93F9_0F059A9CBF93_.wvu.PrintArea" localSheetId="0" hidden="1">'2601월'!$A$1:$AY$39</definedName>
    <definedName name="Z_E1CA8340_FF51_4D5E_93F9_0F059A9CBF93_.wvu.PrintArea" localSheetId="1" hidden="1">'2602월'!$A$1:$AY$36</definedName>
    <definedName name="Z_E1CA8340_FF51_4D5E_93F9_0F059A9CBF93_.wvu.PrintArea" localSheetId="2" hidden="1">'2603월'!$A$1:$AY$39</definedName>
    <definedName name="Z_E1CA8340_FF51_4D5E_93F9_0F059A9CBF93_.wvu.PrintArea" localSheetId="3" hidden="1">'2604월'!$A$1:$AY$38</definedName>
    <definedName name="Z_E1CA8340_FF51_4D5E_93F9_0F059A9CBF93_.wvu.PrintArea" localSheetId="4" hidden="1">'2605월'!$A$1:$AY$39</definedName>
    <definedName name="Z_E1CA8340_FF51_4D5E_93F9_0F059A9CBF93_.wvu.PrintArea" localSheetId="5" hidden="1">'2606월'!$A$1:$AY$38</definedName>
    <definedName name="Z_E267D9DD_90F1_4632_8193_A24F069DB5D5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E267D9DD_90F1_4632_8193_A24F069DB5D5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E267D9DD_90F1_4632_8193_A24F069DB5D5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E267D9DD_90F1_4632_8193_A24F069DB5D5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E267D9DD_90F1_4632_8193_A24F069DB5D5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E267D9DD_90F1_4632_8193_A24F069DB5D5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E267D9DD_90F1_4632_8193_A24F069DB5D5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E267D9DD_90F1_4632_8193_A24F069DB5D5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E267D9DD_90F1_4632_8193_A24F069DB5D5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E267D9DD_90F1_4632_8193_A24F069DB5D5_.wvu.PrintArea" localSheetId="6" hidden="1">'2024년 전체'!$A$1:$BN$20</definedName>
    <definedName name="Z_E267D9DD_90F1_4632_8193_A24F069DB5D5_.wvu.PrintArea" localSheetId="7" hidden="1">'2025년 전체'!$A$1:$BN$20</definedName>
    <definedName name="Z_E267D9DD_90F1_4632_8193_A24F069DB5D5_.wvu.PrintArea" localSheetId="8" hidden="1">'2026년 전체'!$A$1:$AY$20</definedName>
    <definedName name="Z_E267D9DD_90F1_4632_8193_A24F069DB5D5_.wvu.PrintArea" localSheetId="0" hidden="1">'2601월'!$A$1:$AY$39</definedName>
    <definedName name="Z_E267D9DD_90F1_4632_8193_A24F069DB5D5_.wvu.PrintArea" localSheetId="1" hidden="1">'2602월'!$A$1:$AY$36</definedName>
    <definedName name="Z_E267D9DD_90F1_4632_8193_A24F069DB5D5_.wvu.PrintArea" localSheetId="2" hidden="1">'2603월'!$A$1:$AY$39</definedName>
    <definedName name="Z_E267D9DD_90F1_4632_8193_A24F069DB5D5_.wvu.PrintArea" localSheetId="3" hidden="1">'2604월'!$A$1:$AY$38</definedName>
    <definedName name="Z_E267D9DD_90F1_4632_8193_A24F069DB5D5_.wvu.PrintArea" localSheetId="4" hidden="1">'2605월'!$A$1:$AY$39</definedName>
    <definedName name="Z_E267D9DD_90F1_4632_8193_A24F069DB5D5_.wvu.PrintArea" localSheetId="5" hidden="1">'2606월'!$A$1:$AY$38</definedName>
    <definedName name="Z_E680EB99_21B0_4CC6_8B33_B0286E69898A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E680EB99_21B0_4CC6_8B33_B0286E69898A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E680EB99_21B0_4CC6_8B33_B0286E69898A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E680EB99_21B0_4CC6_8B33_B0286E69898A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E680EB99_21B0_4CC6_8B33_B0286E69898A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E680EB99_21B0_4CC6_8B33_B0286E69898A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E680EB99_21B0_4CC6_8B33_B0286E69898A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E680EB99_21B0_4CC6_8B33_B0286E69898A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E680EB99_21B0_4CC6_8B33_B0286E69898A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E680EB99_21B0_4CC6_8B33_B0286E69898A_.wvu.PrintArea" localSheetId="6" hidden="1">'2024년 전체'!$A$1:$BN$20</definedName>
    <definedName name="Z_E680EB99_21B0_4CC6_8B33_B0286E69898A_.wvu.PrintArea" localSheetId="7" hidden="1">'2025년 전체'!$A$1:$BN$20</definedName>
    <definedName name="Z_E680EB99_21B0_4CC6_8B33_B0286E69898A_.wvu.PrintArea" localSheetId="8" hidden="1">'2026년 전체'!$A$1:$AY$20</definedName>
    <definedName name="Z_E680EB99_21B0_4CC6_8B33_B0286E69898A_.wvu.PrintArea" localSheetId="0" hidden="1">'2601월'!$A$1:$AY$39</definedName>
    <definedName name="Z_E680EB99_21B0_4CC6_8B33_B0286E69898A_.wvu.PrintArea" localSheetId="1" hidden="1">'2602월'!$A$1:$AY$36</definedName>
    <definedName name="Z_E680EB99_21B0_4CC6_8B33_B0286E69898A_.wvu.PrintArea" localSheetId="2" hidden="1">'2603월'!$A$1:$AY$39</definedName>
    <definedName name="Z_E680EB99_21B0_4CC6_8B33_B0286E69898A_.wvu.PrintArea" localSheetId="3" hidden="1">'2604월'!$A$1:$AY$38</definedName>
    <definedName name="Z_E680EB99_21B0_4CC6_8B33_B0286E69898A_.wvu.PrintArea" localSheetId="4" hidden="1">'2605월'!$A$1:$AY$39</definedName>
    <definedName name="Z_E680EB99_21B0_4CC6_8B33_B0286E69898A_.wvu.PrintArea" localSheetId="5" hidden="1">'2606월'!$A$1:$AY$38</definedName>
    <definedName name="Z_E6BC541C_E6C7_41B2_BC3F_963F8212465F_.wvu.PrintArea" localSheetId="6" hidden="1">'2024년 전체'!$A$1:$BR$20</definedName>
    <definedName name="Z_E6BC541C_E6C7_41B2_BC3F_963F8212465F_.wvu.PrintArea" localSheetId="7" hidden="1">'2025년 전체'!$A$1:$BR$20</definedName>
    <definedName name="Z_E6BC541C_E6C7_41B2_BC3F_963F8212465F_.wvu.PrintArea" localSheetId="8" hidden="1">'2026년 전체'!$A$1:$BC$20</definedName>
    <definedName name="Z_E6BC541C_E6C7_41B2_BC3F_963F8212465F_.wvu.PrintArea" localSheetId="0" hidden="1">'2601월'!$A$1:$BC$39</definedName>
    <definedName name="Z_E6BC541C_E6C7_41B2_BC3F_963F8212465F_.wvu.PrintArea" localSheetId="1" hidden="1">'2602월'!$A$1:$BC$36</definedName>
    <definedName name="Z_E6BC541C_E6C7_41B2_BC3F_963F8212465F_.wvu.PrintArea" localSheetId="2" hidden="1">'2603월'!$A$1:$BC$39</definedName>
    <definedName name="Z_E6BC541C_E6C7_41B2_BC3F_963F8212465F_.wvu.PrintArea" localSheetId="3" hidden="1">'2604월'!$A$1:$BC$38</definedName>
    <definedName name="Z_E6BC541C_E6C7_41B2_BC3F_963F8212465F_.wvu.PrintArea" localSheetId="4" hidden="1">'2605월'!$A$1:$BC$39</definedName>
    <definedName name="Z_E6BC541C_E6C7_41B2_BC3F_963F8212465F_.wvu.PrintArea" localSheetId="5" hidden="1">'2606월'!$A$1:$BC$38</definedName>
    <definedName name="Z_E868EAFF_78E3_42B9_AA26_3F4FA28B0203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E868EAFF_78E3_42B9_AA26_3F4FA28B0203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E868EAFF_78E3_42B9_AA26_3F4FA28B0203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E868EAFF_78E3_42B9_AA26_3F4FA28B0203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E868EAFF_78E3_42B9_AA26_3F4FA28B0203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E868EAFF_78E3_42B9_AA26_3F4FA28B0203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E868EAFF_78E3_42B9_AA26_3F4FA28B0203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E868EAFF_78E3_42B9_AA26_3F4FA28B0203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E868EAFF_78E3_42B9_AA26_3F4FA28B0203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E868EAFF_78E3_42B9_AA26_3F4FA28B0203_.wvu.PrintArea" localSheetId="6" hidden="1">'2024년 전체'!$A$1:$BN$20</definedName>
    <definedName name="Z_E868EAFF_78E3_42B9_AA26_3F4FA28B0203_.wvu.PrintArea" localSheetId="7" hidden="1">'2025년 전체'!$A$1:$BN$20</definedName>
    <definedName name="Z_E868EAFF_78E3_42B9_AA26_3F4FA28B0203_.wvu.PrintArea" localSheetId="8" hidden="1">'2026년 전체'!$A$1:$AY$20</definedName>
    <definedName name="Z_E868EAFF_78E3_42B9_AA26_3F4FA28B0203_.wvu.PrintArea" localSheetId="0" hidden="1">'2601월'!$A$1:$AY$39</definedName>
    <definedName name="Z_E868EAFF_78E3_42B9_AA26_3F4FA28B0203_.wvu.PrintArea" localSheetId="1" hidden="1">'2602월'!$A$1:$AY$36</definedName>
    <definedName name="Z_E868EAFF_78E3_42B9_AA26_3F4FA28B0203_.wvu.PrintArea" localSheetId="2" hidden="1">'2603월'!$A$1:$AY$39</definedName>
    <definedName name="Z_E868EAFF_78E3_42B9_AA26_3F4FA28B0203_.wvu.PrintArea" localSheetId="3" hidden="1">'2604월'!$A$1:$AY$38</definedName>
    <definedName name="Z_E868EAFF_78E3_42B9_AA26_3F4FA28B0203_.wvu.PrintArea" localSheetId="4" hidden="1">'2605월'!$A$1:$AY$39</definedName>
    <definedName name="Z_E868EAFF_78E3_42B9_AA26_3F4FA28B0203_.wvu.PrintArea" localSheetId="5" hidden="1">'2606월'!$A$1:$AY$38</definedName>
    <definedName name="Z_E949E09C_7E46_4671_BFDC_12BCC26D76EF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E949E09C_7E46_4671_BFDC_12BCC26D76EF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E949E09C_7E46_4671_BFDC_12BCC26D76EF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E949E09C_7E46_4671_BFDC_12BCC26D76EF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E949E09C_7E46_4671_BFDC_12BCC26D76EF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E949E09C_7E46_4671_BFDC_12BCC26D76EF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E949E09C_7E46_4671_BFDC_12BCC26D76EF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E949E09C_7E46_4671_BFDC_12BCC26D76EF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E949E09C_7E46_4671_BFDC_12BCC26D76EF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E949E09C_7E46_4671_BFDC_12BCC26D76EF_.wvu.PrintArea" localSheetId="6" hidden="1">'2024년 전체'!$A$1:$BN$20</definedName>
    <definedName name="Z_E949E09C_7E46_4671_BFDC_12BCC26D76EF_.wvu.PrintArea" localSheetId="7" hidden="1">'2025년 전체'!$A$1:$BN$20</definedName>
    <definedName name="Z_E949E09C_7E46_4671_BFDC_12BCC26D76EF_.wvu.PrintArea" localSheetId="8" hidden="1">'2026년 전체'!$A$1:$AY$20</definedName>
    <definedName name="Z_E949E09C_7E46_4671_BFDC_12BCC26D76EF_.wvu.PrintArea" localSheetId="0" hidden="1">'2601월'!$A$1:$AY$39</definedName>
    <definedName name="Z_E949E09C_7E46_4671_BFDC_12BCC26D76EF_.wvu.PrintArea" localSheetId="1" hidden="1">'2602월'!$A$1:$AY$36</definedName>
    <definedName name="Z_E949E09C_7E46_4671_BFDC_12BCC26D76EF_.wvu.PrintArea" localSheetId="2" hidden="1">'2603월'!$A$1:$AY$39</definedName>
    <definedName name="Z_E949E09C_7E46_4671_BFDC_12BCC26D76EF_.wvu.PrintArea" localSheetId="3" hidden="1">'2604월'!$A$1:$AY$38</definedName>
    <definedName name="Z_E949E09C_7E46_4671_BFDC_12BCC26D76EF_.wvu.PrintArea" localSheetId="4" hidden="1">'2605월'!$A$1:$AY$39</definedName>
    <definedName name="Z_E949E09C_7E46_4671_BFDC_12BCC26D76EF_.wvu.PrintArea" localSheetId="5" hidden="1">'2606월'!$A$1:$AY$38</definedName>
    <definedName name="Z_EB57DBAC_DAA9_452E_BE72_443A9AAD3ABC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EB57DBAC_DAA9_452E_BE72_443A9AAD3ABC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EB57DBAC_DAA9_452E_BE72_443A9AAD3ABC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EB57DBAC_DAA9_452E_BE72_443A9AAD3ABC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EB57DBAC_DAA9_452E_BE72_443A9AAD3ABC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EB57DBAC_DAA9_452E_BE72_443A9AAD3ABC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EB57DBAC_DAA9_452E_BE72_443A9AAD3ABC_.wvu.PrintArea" localSheetId="6" hidden="1">'2024년 전체'!$A$1:$BN$20</definedName>
    <definedName name="Z_EB57DBAC_DAA9_452E_BE72_443A9AAD3ABC_.wvu.PrintArea" localSheetId="7" hidden="1">'2025년 전체'!$A$1:$BN$20</definedName>
    <definedName name="Z_EB57DBAC_DAA9_452E_BE72_443A9AAD3ABC_.wvu.PrintArea" localSheetId="8" hidden="1">'2026년 전체'!$A$1:$AY$20</definedName>
    <definedName name="Z_EB57DBAC_DAA9_452E_BE72_443A9AAD3ABC_.wvu.PrintArea" localSheetId="0" hidden="1">'2601월'!$A$1:$AY$39</definedName>
    <definedName name="Z_EB57DBAC_DAA9_452E_BE72_443A9AAD3ABC_.wvu.PrintArea" localSheetId="1" hidden="1">'2602월'!$A$1:$AY$36</definedName>
    <definedName name="Z_EB57DBAC_DAA9_452E_BE72_443A9AAD3ABC_.wvu.PrintArea" localSheetId="2" hidden="1">'2603월'!$A$1:$AY$39</definedName>
    <definedName name="Z_EB57DBAC_DAA9_452E_BE72_443A9AAD3ABC_.wvu.PrintArea" localSheetId="3" hidden="1">'2604월'!$A$1:$AY$38</definedName>
    <definedName name="Z_EB57DBAC_DAA9_452E_BE72_443A9AAD3ABC_.wvu.PrintArea" localSheetId="4" hidden="1">'2605월'!$A$1:$AY$39</definedName>
    <definedName name="Z_EB57DBAC_DAA9_452E_BE72_443A9AAD3ABC_.wvu.PrintArea" localSheetId="5" hidden="1">'2606월'!$A$1:$AY$38</definedName>
    <definedName name="Z_EBC6F117_7011_42E1_9204_AFA5AE46444E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EBC6F117_7011_42E1_9204_AFA5AE46444E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EBC6F117_7011_42E1_9204_AFA5AE46444E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전체'!$AV:$AW,'2026년 전체'!$AZ:$BD</definedName>
    <definedName name="Z_EBC6F117_7011_42E1_9204_AFA5AE46444E_.wvu.Cols" localSheetId="0" hidden="1">'2601월'!$F:$F,'2601월'!$H:$O,'2601월'!$T:$T,'2601월'!$V:$AC,'2601월'!$AH:$AO,'2601월'!$AV:$AW,'2601월'!$AZ:$BE</definedName>
    <definedName name="Z_EBC6F117_7011_42E1_9204_AFA5AE46444E_.wvu.Cols" localSheetId="1" hidden="1">'2602월'!$F:$F,'2602월'!$H:$O,'2602월'!$T:$T,'2602월'!$V:$AC,'2602월'!$AH:$AO,'2602월'!$AV:$AW,'2602월'!$AZ:$BE</definedName>
    <definedName name="Z_EBC6F117_7011_42E1_9204_AFA5AE46444E_.wvu.Cols" localSheetId="2" hidden="1">'2603월'!$F:$F,'2603월'!$H:$O,'2603월'!$T:$T,'2603월'!$V:$AC,'2603월'!$AH:$AO,'2603월'!$AV:$AW,'2603월'!$AZ:$BE</definedName>
    <definedName name="Z_EBC6F117_7011_42E1_9204_AFA5AE46444E_.wvu.Cols" localSheetId="3" hidden="1">'2604월'!$F:$F,'2604월'!$H:$O,'2604월'!$T:$T,'2604월'!$V:$AC,'2604월'!$AH:$AO,'2604월'!$AV:$AW,'2604월'!$AZ:$BE</definedName>
    <definedName name="Z_EBC6F117_7011_42E1_9204_AFA5AE46444E_.wvu.Cols" localSheetId="4" hidden="1">'2605월'!$F:$F,'2605월'!$H:$O,'2605월'!$T:$T,'2605월'!$V:$AC,'2605월'!$AH:$AO,'2605월'!$AV:$AW,'2605월'!$AZ:$BE</definedName>
    <definedName name="Z_EBC6F117_7011_42E1_9204_AFA5AE46444E_.wvu.Cols" localSheetId="5" hidden="1">'2606월'!$F:$F,'2606월'!$H:$O,'2606월'!$T:$T,'2606월'!$V:$AC,'2606월'!$AH:$AO,'2606월'!$AV:$AW,'2606월'!$AZ:$BE</definedName>
    <definedName name="Z_EBC6F117_7011_42E1_9204_AFA5AE46444E_.wvu.PrintArea" localSheetId="6" hidden="1">'2024년 전체'!$A$1:$BN$20</definedName>
    <definedName name="Z_EBC6F117_7011_42E1_9204_AFA5AE46444E_.wvu.PrintArea" localSheetId="7" hidden="1">'2025년 전체'!$A$1:$BN$20</definedName>
    <definedName name="Z_EBC6F117_7011_42E1_9204_AFA5AE46444E_.wvu.PrintArea" localSheetId="8" hidden="1">'2026년 전체'!$A$1:$AY$20</definedName>
    <definedName name="Z_EBC6F117_7011_42E1_9204_AFA5AE46444E_.wvu.PrintArea" localSheetId="0" hidden="1">'2601월'!$A$1:$AY$39</definedName>
    <definedName name="Z_EBC6F117_7011_42E1_9204_AFA5AE46444E_.wvu.PrintArea" localSheetId="1" hidden="1">'2602월'!$A$1:$AY$36</definedName>
    <definedName name="Z_EBC6F117_7011_42E1_9204_AFA5AE46444E_.wvu.PrintArea" localSheetId="2" hidden="1">'2603월'!$A$1:$AY$39</definedName>
    <definedName name="Z_EBC6F117_7011_42E1_9204_AFA5AE46444E_.wvu.PrintArea" localSheetId="3" hidden="1">'2604월'!$A$1:$AY$38</definedName>
    <definedName name="Z_EBC6F117_7011_42E1_9204_AFA5AE46444E_.wvu.PrintArea" localSheetId="4" hidden="1">'2605월'!$A$1:$AY$39</definedName>
    <definedName name="Z_EBC6F117_7011_42E1_9204_AFA5AE46444E_.wvu.PrintArea" localSheetId="5" hidden="1">'2606월'!$A$1:$AY$38</definedName>
    <definedName name="Z_EFF752FB_0069_4649_A705_E3E29837FA4C_.wvu.PrintArea" localSheetId="6" hidden="1">'2024년 전체'!$A$1:$BN$20</definedName>
    <definedName name="Z_EFF752FB_0069_4649_A705_E3E29837FA4C_.wvu.PrintArea" localSheetId="7" hidden="1">'2025년 전체'!$A$1:$BN$20</definedName>
    <definedName name="Z_EFF752FB_0069_4649_A705_E3E29837FA4C_.wvu.PrintArea" localSheetId="8" hidden="1">'2026년 전체'!$A$1:$AY$20</definedName>
    <definedName name="Z_F05EC9E4_E08D_4F8A_B364_9B0BDDE4745C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F05EC9E4_E08D_4F8A_B364_9B0BDDE4745C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F05EC9E4_E08D_4F8A_B364_9B0BDDE4745C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F05EC9E4_E08D_4F8A_B364_9B0BDDE4745C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F05EC9E4_E08D_4F8A_B364_9B0BDDE4745C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F05EC9E4_E08D_4F8A_B364_9B0BDDE4745C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F05EC9E4_E08D_4F8A_B364_9B0BDDE4745C_.wvu.PrintArea" localSheetId="6" hidden="1">'2024년 전체'!$A$1:$BN$20</definedName>
    <definedName name="Z_F05EC9E4_E08D_4F8A_B364_9B0BDDE4745C_.wvu.PrintArea" localSheetId="7" hidden="1">'2025년 전체'!$A$1:$BN$20</definedName>
    <definedName name="Z_F05EC9E4_E08D_4F8A_B364_9B0BDDE4745C_.wvu.PrintArea" localSheetId="8" hidden="1">'2026년 전체'!$A$1:$AY$20</definedName>
    <definedName name="Z_F05EC9E4_E08D_4F8A_B364_9B0BDDE4745C_.wvu.PrintArea" localSheetId="0" hidden="1">'2601월'!$A$1:$AY$39</definedName>
    <definedName name="Z_F05EC9E4_E08D_4F8A_B364_9B0BDDE4745C_.wvu.PrintArea" localSheetId="1" hidden="1">'2602월'!$A$1:$AY$36</definedName>
    <definedName name="Z_F05EC9E4_E08D_4F8A_B364_9B0BDDE4745C_.wvu.PrintArea" localSheetId="2" hidden="1">'2603월'!$A$1:$AY$39</definedName>
    <definedName name="Z_F05EC9E4_E08D_4F8A_B364_9B0BDDE4745C_.wvu.PrintArea" localSheetId="3" hidden="1">'2604월'!$A$1:$AY$38</definedName>
    <definedName name="Z_F05EC9E4_E08D_4F8A_B364_9B0BDDE4745C_.wvu.PrintArea" localSheetId="4" hidden="1">'2605월'!$A$1:$AY$39</definedName>
    <definedName name="Z_F05EC9E4_E08D_4F8A_B364_9B0BDDE4745C_.wvu.PrintArea" localSheetId="5" hidden="1">'2606월'!$A$1:$AY$38</definedName>
    <definedName name="Z_F1FB4E20_1508_4A3F_9973_A4FBA9DF6DEF_.wvu.PrintArea" localSheetId="6" hidden="1">'2024년 전체'!$A$1:$BR$20</definedName>
    <definedName name="Z_F1FB4E20_1508_4A3F_9973_A4FBA9DF6DEF_.wvu.PrintArea" localSheetId="7" hidden="1">'2025년 전체'!$A$1:$BR$20</definedName>
    <definedName name="Z_F1FB4E20_1508_4A3F_9973_A4FBA9DF6DEF_.wvu.PrintArea" localSheetId="8" hidden="1">'2026년 전체'!$A$1:$BC$20</definedName>
    <definedName name="Z_F1FB4E20_1508_4A3F_9973_A4FBA9DF6DEF_.wvu.PrintArea" localSheetId="0" hidden="1">'2601월'!$A$1:$BC$39</definedName>
    <definedName name="Z_F1FB4E20_1508_4A3F_9973_A4FBA9DF6DEF_.wvu.PrintArea" localSheetId="1" hidden="1">'2602월'!$A$1:$BC$36</definedName>
    <definedName name="Z_F1FB4E20_1508_4A3F_9973_A4FBA9DF6DEF_.wvu.PrintArea" localSheetId="2" hidden="1">'2603월'!$A$1:$BC$39</definedName>
    <definedName name="Z_F1FB4E20_1508_4A3F_9973_A4FBA9DF6DEF_.wvu.PrintArea" localSheetId="3" hidden="1">'2604월'!$A$1:$BC$38</definedName>
    <definedName name="Z_F1FB4E20_1508_4A3F_9973_A4FBA9DF6DEF_.wvu.PrintArea" localSheetId="4" hidden="1">'2605월'!$A$1:$BC$39</definedName>
    <definedName name="Z_F1FB4E20_1508_4A3F_9973_A4FBA9DF6DEF_.wvu.PrintArea" localSheetId="5" hidden="1">'2606월'!$A$1:$BC$38</definedName>
    <definedName name="Z_F445BB1B_BA28_4670_9653_20145F8C46BF_.wvu.PrintArea" localSheetId="6" hidden="1">'2024년 전체'!$A$1:$BN$20</definedName>
    <definedName name="Z_F445BB1B_BA28_4670_9653_20145F8C46BF_.wvu.PrintArea" localSheetId="7" hidden="1">'2025년 전체'!$A$1:$BN$20</definedName>
    <definedName name="Z_F445BB1B_BA28_4670_9653_20145F8C46BF_.wvu.PrintArea" localSheetId="8" hidden="1">'2026년 전체'!$A$1:$AY$20</definedName>
    <definedName name="Z_F59648DB_90EC_4560_B693_39214E7EF81F_.wvu.Cols" localSheetId="6" hidden="1">'2024년 전체'!$C:$C,'2024년 전체'!$F:$F,'2024년 전체'!$L:$O,'2024년 전체'!$Q:$Q,'2024년 전체'!$T:$T,'2024년 전체'!$V:$AC,'2024년 전체'!$AE:$AE,'2024년 전체'!$AO:$AR,'2024년 전체'!$AT:$AT,'2024년 전체'!$BA:$BD,'2024년 전체'!$BF:$BF</definedName>
    <definedName name="Z_F59648DB_90EC_4560_B693_39214E7EF81F_.wvu.Cols" localSheetId="7" hidden="1">'2025년 전체'!$C:$C,'2025년 전체'!$F:$F,'2025년 전체'!$L:$O,'2025년 전체'!$Q:$Q,'2025년 전체'!$T:$T,'2025년 전체'!$V:$AC,'2025년 전체'!$AE:$AE,'2025년 전체'!$AO:$AR,'2025년 전체'!$AT:$AT,'2025년 전체'!$BA:$BD,'2025년 전체'!$BF:$BF</definedName>
    <definedName name="Z_F59648DB_90EC_4560_B693_39214E7EF81F_.wvu.Cols" localSheetId="8" hidden="1">'2026년 전체'!$C:$C,'2026년 전체'!$F:$F,'2026년 전체'!$L:$O,'2026년 전체'!$Q:$Q,'2026년 전체'!$T:$T,'2026년 전체'!$V:$AC,'2026년 전체'!#REF!,'2026년 전체'!#REF!,'2026년 전체'!$AE:$AE,'2026년 전체'!$AL:$AO,'2026년 전체'!$AQ:$AQ</definedName>
    <definedName name="Z_F59648DB_90EC_4560_B693_39214E7EF81F_.wvu.Cols" localSheetId="0" hidden="1">'2601월'!$C:$C,'2601월'!$F:$F,'2601월'!$L:$O,'2601월'!$Q:$Q,'2601월'!$T:$T,'2601월'!$V:$AC,'2601월'!#REF!,'2601월'!#REF!,'2601월'!$AE:$AE,'2601월'!$AL:$AO,'2601월'!$AQ:$AQ</definedName>
    <definedName name="Z_F59648DB_90EC_4560_B693_39214E7EF81F_.wvu.Cols" localSheetId="1" hidden="1">'2602월'!$C:$C,'2602월'!$F:$F,'2602월'!$L:$O,'2602월'!$Q:$Q,'2602월'!$T:$T,'2602월'!$V:$AC,'2602월'!#REF!,'2602월'!#REF!,'2602월'!$AE:$AE,'2602월'!$AL:$AO,'2602월'!$AQ:$AQ</definedName>
    <definedName name="Z_F59648DB_90EC_4560_B693_39214E7EF81F_.wvu.Cols" localSheetId="2" hidden="1">'2603월'!$C:$C,'2603월'!$F:$F,'2603월'!$L:$O,'2603월'!$Q:$Q,'2603월'!$T:$T,'2603월'!$V:$AC,'2603월'!#REF!,'2603월'!#REF!,'2603월'!$AE:$AE,'2603월'!$AL:$AO,'2603월'!$AQ:$AQ</definedName>
    <definedName name="Z_F59648DB_90EC_4560_B693_39214E7EF81F_.wvu.Cols" localSheetId="3" hidden="1">'2604월'!$C:$C,'2604월'!$F:$F,'2604월'!$L:$O,'2604월'!$Q:$Q,'2604월'!$T:$T,'2604월'!$V:$AC,'2604월'!#REF!,'2604월'!#REF!,'2604월'!$AE:$AE,'2604월'!$AL:$AO,'2604월'!$AQ:$AQ</definedName>
    <definedName name="Z_F59648DB_90EC_4560_B693_39214E7EF81F_.wvu.Cols" localSheetId="4" hidden="1">'2605월'!$C:$C,'2605월'!$F:$F,'2605월'!$L:$O,'2605월'!$Q:$Q,'2605월'!$T:$T,'2605월'!$V:$AC,'2605월'!#REF!,'2605월'!#REF!,'2605월'!$AE:$AE,'2605월'!$AL:$AO,'2605월'!$AQ:$AQ</definedName>
    <definedName name="Z_F59648DB_90EC_4560_B693_39214E7EF81F_.wvu.Cols" localSheetId="5" hidden="1">'2606월'!$C:$C,'2606월'!$F:$F,'2606월'!$L:$O,'2606월'!$Q:$Q,'2606월'!$T:$T,'2606월'!$V:$AC,'2606월'!#REF!,'2606월'!#REF!,'2606월'!$AE:$AE,'2606월'!$AL:$AO,'2606월'!$AQ:$AQ</definedName>
    <definedName name="Z_F59648DB_90EC_4560_B693_39214E7EF81F_.wvu.PrintArea" localSheetId="6" hidden="1">'2024년 전체'!$A$1:$BR$20</definedName>
    <definedName name="Z_F59648DB_90EC_4560_B693_39214E7EF81F_.wvu.PrintArea" localSheetId="7" hidden="1">'2025년 전체'!$A$1:$BR$20</definedName>
    <definedName name="Z_F59648DB_90EC_4560_B693_39214E7EF81F_.wvu.PrintArea" localSheetId="8" hidden="1">'2026년 전체'!$A$1:$BC$20</definedName>
    <definedName name="Z_F59648DB_90EC_4560_B693_39214E7EF81F_.wvu.PrintArea" localSheetId="0" hidden="1">'2601월'!$A$1:$BC$39</definedName>
    <definedName name="Z_F59648DB_90EC_4560_B693_39214E7EF81F_.wvu.PrintArea" localSheetId="1" hidden="1">'2602월'!$A$1:$BC$36</definedName>
    <definedName name="Z_F59648DB_90EC_4560_B693_39214E7EF81F_.wvu.PrintArea" localSheetId="2" hidden="1">'2603월'!$A$1:$BC$39</definedName>
    <definedName name="Z_F59648DB_90EC_4560_B693_39214E7EF81F_.wvu.PrintArea" localSheetId="3" hidden="1">'2604월'!$A$1:$BC$38</definedName>
    <definedName name="Z_F59648DB_90EC_4560_B693_39214E7EF81F_.wvu.PrintArea" localSheetId="4" hidden="1">'2605월'!$A$1:$BC$39</definedName>
    <definedName name="Z_F59648DB_90EC_4560_B693_39214E7EF81F_.wvu.PrintArea" localSheetId="5" hidden="1">'2606월'!$A$1:$BC$38</definedName>
    <definedName name="Z_F59DFEB7_288F_42CE_BE14_615E48269161_.wvu.Cols" localSheetId="6" hidden="1">'2024년 전체'!$C:$C,'2024년 전체'!$F:$F,'2024년 전체'!$H:$O,'2024년 전체'!$Q:$Q,'2024년 전체'!$T:$T,'2024년 전체'!$V:$AC,'2024년 전체'!$AE:$AF,'2024년 전체'!$AH:$AH,'2024년 전체'!$AK:$AR,'2024년 전체'!$AT:$AT,'2024년 전체'!$AW:$BD,'2024년 전체'!$BF:$BF,'2024년 전체'!$BK:$BL,'2024년 전체'!$BO:$BS</definedName>
    <definedName name="Z_F59DFEB7_288F_42CE_BE14_615E48269161_.wvu.Cols" localSheetId="7" hidden="1">'2025년 전체'!$C:$C,'2025년 전체'!$F:$F,'2025년 전체'!$H:$O,'2025년 전체'!$Q:$Q,'2025년 전체'!$T:$T,'2025년 전체'!$V:$AC,'2025년 전체'!$AE:$AF,'2025년 전체'!$AH:$AH,'2025년 전체'!$AK:$AR,'2025년 전체'!$AT:$AT,'2025년 전체'!$AW:$BD,'2025년 전체'!$BF:$BF,'2025년 전체'!$BK:$BL,'2025년 전체'!$BO:$BS</definedName>
    <definedName name="Z_F59DFEB7_288F_42CE_BE14_615E48269161_.wvu.Cols" localSheetId="0" hidden="1">'2601월'!$F:$F,'2601월'!$H:$O,'2601월'!$T:$T,'2601월'!$V:$AC,'2601월'!$AH:$AO,'2601월'!$AV:$AW,'2601월'!$AZ:$BE</definedName>
    <definedName name="Z_F59DFEB7_288F_42CE_BE14_615E48269161_.wvu.Cols" localSheetId="3" hidden="1">'2604월'!$F:$F,'2604월'!$H:$O,'2604월'!$T:$T,'2604월'!$V:$AC,'2604월'!$AH:$AO,'2604월'!$AV:$AW,'2604월'!$AZ:$BE</definedName>
    <definedName name="Z_F59DFEB7_288F_42CE_BE14_615E48269161_.wvu.Cols" localSheetId="4" hidden="1">'2605월'!$F:$F,'2605월'!$H:$O,'2605월'!$T:$T,'2605월'!$V:$AC,'2605월'!$AH:$AO,'2605월'!$AV:$AW,'2605월'!$AZ:$BD</definedName>
    <definedName name="Z_F59DFEB7_288F_42CE_BE14_615E48269161_.wvu.Cols" localSheetId="5" hidden="1">'2606월'!$F:$F,'2606월'!$H:$O,'2606월'!$T:$T,'2606월'!$V:$AC,'2606월'!$AH:$AO,'2606월'!$AV:$AW,'2606월'!$AZ:$BE</definedName>
    <definedName name="Z_F59DFEB7_288F_42CE_BE14_615E48269161_.wvu.PrintArea" localSheetId="6" hidden="1">'2024년 전체'!$A$1:$BN$20</definedName>
    <definedName name="Z_F59DFEB7_288F_42CE_BE14_615E48269161_.wvu.PrintArea" localSheetId="7" hidden="1">'2025년 전체'!$A$1:$BN$20</definedName>
    <definedName name="Z_F59DFEB7_288F_42CE_BE14_615E48269161_.wvu.PrintArea" localSheetId="8" hidden="1">'2026년 전체'!$A$1:$AY$20</definedName>
    <definedName name="Z_F59DFEB7_288F_42CE_BE14_615E48269161_.wvu.PrintArea" localSheetId="0" hidden="1">'2601월'!$A$1:$AY$39</definedName>
    <definedName name="Z_F59DFEB7_288F_42CE_BE14_615E48269161_.wvu.PrintArea" localSheetId="1" hidden="1">'2602월'!$A$1:$AY$36</definedName>
    <definedName name="Z_F59DFEB7_288F_42CE_BE14_615E48269161_.wvu.PrintArea" localSheetId="2" hidden="1">'2603월'!$A$1:$AY$39</definedName>
    <definedName name="Z_F59DFEB7_288F_42CE_BE14_615E48269161_.wvu.PrintArea" localSheetId="3" hidden="1">'2604월'!$A$1:$AY$38</definedName>
    <definedName name="Z_F59DFEB7_288F_42CE_BE14_615E48269161_.wvu.PrintArea" localSheetId="4" hidden="1">'2605월'!$A$1:$AY$39</definedName>
    <definedName name="Z_F59DFEB7_288F_42CE_BE14_615E48269161_.wvu.PrintArea" localSheetId="5" hidden="1">'2606월'!$A$1:$AY$38</definedName>
    <definedName name="Z_F5D26B37_BA4D_4ED7_9008_0765551C4A40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F5D26B37_BA4D_4ED7_9008_0765551C4A40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F5D26B37_BA4D_4ED7_9008_0765551C4A40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F5D26B37_BA4D_4ED7_9008_0765551C4A40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F5D26B37_BA4D_4ED7_9008_0765551C4A40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F5D26B37_BA4D_4ED7_9008_0765551C4A40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F5D26B37_BA4D_4ED7_9008_0765551C4A40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F5D26B37_BA4D_4ED7_9008_0765551C4A40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F5D26B37_BA4D_4ED7_9008_0765551C4A40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F5D26B37_BA4D_4ED7_9008_0765551C4A40_.wvu.PrintArea" localSheetId="6" hidden="1">'2024년 전체'!$A$1:$BN$20</definedName>
    <definedName name="Z_F5D26B37_BA4D_4ED7_9008_0765551C4A40_.wvu.PrintArea" localSheetId="7" hidden="1">'2025년 전체'!$A$1:$BN$20</definedName>
    <definedName name="Z_F5D26B37_BA4D_4ED7_9008_0765551C4A40_.wvu.PrintArea" localSheetId="8" hidden="1">'2026년 전체'!$A$1:$AY$20</definedName>
    <definedName name="Z_F5D26B37_BA4D_4ED7_9008_0765551C4A40_.wvu.PrintArea" localSheetId="0" hidden="1">'2601월'!$A$1:$AY$39</definedName>
    <definedName name="Z_F5D26B37_BA4D_4ED7_9008_0765551C4A40_.wvu.PrintArea" localSheetId="1" hidden="1">'2602월'!$A$1:$AY$36</definedName>
    <definedName name="Z_F5D26B37_BA4D_4ED7_9008_0765551C4A40_.wvu.PrintArea" localSheetId="2" hidden="1">'2603월'!$A$1:$AY$39</definedName>
    <definedName name="Z_F5D26B37_BA4D_4ED7_9008_0765551C4A40_.wvu.PrintArea" localSheetId="3" hidden="1">'2604월'!$A$1:$AY$38</definedName>
    <definedName name="Z_F5D26B37_BA4D_4ED7_9008_0765551C4A40_.wvu.PrintArea" localSheetId="4" hidden="1">'2605월'!$A$1:$AY$39</definedName>
    <definedName name="Z_F5D26B37_BA4D_4ED7_9008_0765551C4A40_.wvu.PrintArea" localSheetId="5" hidden="1">'2606월'!$A$1:$AY$38</definedName>
    <definedName name="Z_FB066898_618B_42D8_BD41_63F170C665E7_.wvu.Cols" localSheetId="6" hidden="1">'2024년 전체'!$C:$C,'2024년 전체'!$F:$F,'2024년 전체'!$H:$O,'2024년 전체'!$Q:$Q,'2024년 전체'!$T:$T,'2024년 전체'!$V:$AF,'2024년 전체'!$AH:$AH,'2024년 전체'!$AK:$AR,'2024년 전체'!$AT:$AT,'2024년 전체'!$AW:$BD,'2024년 전체'!$BF:$BF,'2024년 전체'!$BK:$BL</definedName>
    <definedName name="Z_FB066898_618B_42D8_BD41_63F170C665E7_.wvu.Cols" localSheetId="7" hidden="1">'2025년 전체'!$C:$C,'2025년 전체'!$F:$F,'2025년 전체'!$H:$O,'2025년 전체'!$Q:$Q,'2025년 전체'!$T:$T,'2025년 전체'!$V:$AF,'2025년 전체'!$AH:$AH,'2025년 전체'!$AK:$AR,'2025년 전체'!$AT:$AT,'2025년 전체'!$AW:$BD,'2025년 전체'!$BF:$BF,'2025년 전체'!$BK:$BL</definedName>
    <definedName name="Z_FB066898_618B_42D8_BD41_63F170C665E7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FB066898_618B_42D8_BD41_63F170C665E7_.wvu.PrintArea" localSheetId="6" hidden="1">'2024년 전체'!$A$1:$BN$20</definedName>
    <definedName name="Z_FB066898_618B_42D8_BD41_63F170C665E7_.wvu.PrintArea" localSheetId="7" hidden="1">'2025년 전체'!$A$1:$BN$20</definedName>
    <definedName name="Z_FB066898_618B_42D8_BD41_63F170C665E7_.wvu.PrintArea" localSheetId="8" hidden="1">'2026년 전체'!$A$1:$AY$20</definedName>
    <definedName name="Z_FB066898_618B_42D8_BD41_63F170C665E7_.wvu.PrintArea" localSheetId="0" hidden="1">'2601월'!$A$1:$AY$39</definedName>
    <definedName name="Z_FB066898_618B_42D8_BD41_63F170C665E7_.wvu.PrintArea" localSheetId="1" hidden="1">'2602월'!$A$1:$AY$36</definedName>
    <definedName name="Z_FB066898_618B_42D8_BD41_63F170C665E7_.wvu.PrintArea" localSheetId="2" hidden="1">'2603월'!$A$1:$AY$39</definedName>
    <definedName name="Z_FB066898_618B_42D8_BD41_63F170C665E7_.wvu.PrintArea" localSheetId="3" hidden="1">'2604월'!$A$1:$AY$38</definedName>
    <definedName name="Z_FB066898_618B_42D8_BD41_63F170C665E7_.wvu.PrintArea" localSheetId="4" hidden="1">'2605월'!$A$1:$AY$39</definedName>
    <definedName name="Z_FB066898_618B_42D8_BD41_63F170C665E7_.wvu.PrintArea" localSheetId="5" hidden="1">'2606월'!$A$1:$AY$38</definedName>
    <definedName name="Z_FB6501BD_E1CF_4488_80A7_EBF51D0BC97B_.wvu.PrintArea" localSheetId="6" hidden="1">'2024년 전체'!$A$1:$BR$20</definedName>
    <definedName name="Z_FB6501BD_E1CF_4488_80A7_EBF51D0BC97B_.wvu.PrintArea" localSheetId="7" hidden="1">'2025년 전체'!$A$1:$BR$20</definedName>
    <definedName name="Z_FB6501BD_E1CF_4488_80A7_EBF51D0BC97B_.wvu.PrintArea" localSheetId="8" hidden="1">'2026년 전체'!$A$1:$BC$20</definedName>
    <definedName name="Z_FB6501BD_E1CF_4488_80A7_EBF51D0BC97B_.wvu.PrintArea" localSheetId="0" hidden="1">'2601월'!$A$1:$BC$39</definedName>
    <definedName name="Z_FB6501BD_E1CF_4488_80A7_EBF51D0BC97B_.wvu.PrintArea" localSheetId="1" hidden="1">'2602월'!$A$1:$BC$36</definedName>
    <definedName name="Z_FB6501BD_E1CF_4488_80A7_EBF51D0BC97B_.wvu.PrintArea" localSheetId="2" hidden="1">'2603월'!$A$1:$BC$39</definedName>
    <definedName name="Z_FB6501BD_E1CF_4488_80A7_EBF51D0BC97B_.wvu.PrintArea" localSheetId="3" hidden="1">'2604월'!$A$1:$BC$38</definedName>
    <definedName name="Z_FB6501BD_E1CF_4488_80A7_EBF51D0BC97B_.wvu.PrintArea" localSheetId="4" hidden="1">'2605월'!$A$1:$BC$39</definedName>
    <definedName name="Z_FB6501BD_E1CF_4488_80A7_EBF51D0BC97B_.wvu.PrintArea" localSheetId="5" hidden="1">'2606월'!$A$1:$BC$38</definedName>
    <definedName name="Z_FBEB72BA_CBBB_4942_8D09_7EAD70FF8128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FBEB72BA_CBBB_4942_8D09_7EAD70FF8128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FBEB72BA_CBBB_4942_8D09_7EAD70FF8128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FBEB72BA_CBBB_4942_8D09_7EAD70FF8128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FBEB72BA_CBBB_4942_8D09_7EAD70FF8128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FBEB72BA_CBBB_4942_8D09_7EAD70FF8128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FBEB72BA_CBBB_4942_8D09_7EAD70FF8128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FBEB72BA_CBBB_4942_8D09_7EAD70FF8128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FBEB72BA_CBBB_4942_8D09_7EAD70FF8128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FBEB72BA_CBBB_4942_8D09_7EAD70FF8128_.wvu.PrintArea" localSheetId="6" hidden="1">'2024년 전체'!$A$1:$BR$20</definedName>
    <definedName name="Z_FBEB72BA_CBBB_4942_8D09_7EAD70FF8128_.wvu.PrintArea" localSheetId="7" hidden="1">'2025년 전체'!$A$1:$BR$20</definedName>
    <definedName name="Z_FBEB72BA_CBBB_4942_8D09_7EAD70FF8128_.wvu.PrintArea" localSheetId="8" hidden="1">'2026년 전체'!$A$1:$BC$20</definedName>
    <definedName name="Z_FBEB72BA_CBBB_4942_8D09_7EAD70FF8128_.wvu.PrintArea" localSheetId="0" hidden="1">'2601월'!$A$1:$BC$39</definedName>
    <definedName name="Z_FBEB72BA_CBBB_4942_8D09_7EAD70FF8128_.wvu.PrintArea" localSheetId="1" hidden="1">'2602월'!$A$1:$BC$36</definedName>
    <definedName name="Z_FBEB72BA_CBBB_4942_8D09_7EAD70FF8128_.wvu.PrintArea" localSheetId="2" hidden="1">'2603월'!$A$1:$BC$39</definedName>
    <definedName name="Z_FBEB72BA_CBBB_4942_8D09_7EAD70FF8128_.wvu.PrintArea" localSheetId="3" hidden="1">'2604월'!$A$1:$BC$38</definedName>
    <definedName name="Z_FBEB72BA_CBBB_4942_8D09_7EAD70FF8128_.wvu.PrintArea" localSheetId="4" hidden="1">'2605월'!$A$1:$BC$39</definedName>
    <definedName name="Z_FBEB72BA_CBBB_4942_8D09_7EAD70FF8128_.wvu.PrintArea" localSheetId="5" hidden="1">'2606월'!$A$1:$BC$38</definedName>
    <definedName name="Z_FC82AE6F_5EBA_4463_89AA_94297DBCE66F_.wvu.PrintArea" localSheetId="6" hidden="1">'2024년 전체'!$A$1:$BN$20</definedName>
    <definedName name="Z_FC82AE6F_5EBA_4463_89AA_94297DBCE66F_.wvu.PrintArea" localSheetId="7" hidden="1">'2025년 전체'!$A$1:$BN$20</definedName>
    <definedName name="Z_FC82AE6F_5EBA_4463_89AA_94297DBCE66F_.wvu.PrintArea" localSheetId="8" hidden="1">'2026년 전체'!$A$1:$AY$20</definedName>
    <definedName name="Z_FCDA6CC5_8A39_45BF_857F_43C9D9A43BAB_.wvu.PrintArea" localSheetId="6" hidden="1">'2024년 전체'!$A$1:$BN$20</definedName>
    <definedName name="Z_FCDA6CC5_8A39_45BF_857F_43C9D9A43BAB_.wvu.PrintArea" localSheetId="7" hidden="1">'2025년 전체'!$A$1:$BN$20</definedName>
    <definedName name="Z_FCDA6CC5_8A39_45BF_857F_43C9D9A43BAB_.wvu.PrintArea" localSheetId="8" hidden="1">'2026년 전체'!$A$1:$AY$20</definedName>
    <definedName name="Z_FCDA6CC5_8A39_45BF_857F_43C9D9A43BAB_.wvu.PrintArea" localSheetId="0" hidden="1">'2601월'!$A$1:$AY$39</definedName>
    <definedName name="Z_FCDA6CC5_8A39_45BF_857F_43C9D9A43BAB_.wvu.PrintArea" localSheetId="1" hidden="1">'2602월'!$A$1:$AY$36</definedName>
    <definedName name="Z_FCDA6CC5_8A39_45BF_857F_43C9D9A43BAB_.wvu.PrintArea" localSheetId="2" hidden="1">'2603월'!$A$1:$AY$39</definedName>
    <definedName name="Z_FCDA6CC5_8A39_45BF_857F_43C9D9A43BAB_.wvu.PrintArea" localSheetId="3" hidden="1">'2604월'!$A$1:$AY$38</definedName>
    <definedName name="Z_FCDA6CC5_8A39_45BF_857F_43C9D9A43BAB_.wvu.PrintArea" localSheetId="4" hidden="1">'2605월'!$A$1:$AY$39</definedName>
    <definedName name="Z_FCDA6CC5_8A39_45BF_857F_43C9D9A43BAB_.wvu.PrintArea" localSheetId="5" hidden="1">'2606월'!$A$1:$AY$38</definedName>
    <definedName name="Z_FCE88405_4714_4D74_94F3_740B2CFBD99E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FCE88405_4714_4D74_94F3_740B2CFBD99E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FCE88405_4714_4D74_94F3_740B2CFBD99E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FCE88405_4714_4D74_94F3_740B2CFBD99E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FCE88405_4714_4D74_94F3_740B2CFBD99E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FCE88405_4714_4D74_94F3_740B2CFBD99E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FCE88405_4714_4D74_94F3_740B2CFBD99E_.wvu.PrintArea" localSheetId="0" hidden="1">'2601월'!$A$1:$AY$39</definedName>
    <definedName name="Z_FCE88405_4714_4D74_94F3_740B2CFBD99E_.wvu.PrintArea" localSheetId="1" hidden="1">'2602월'!$A$1:$AY$36</definedName>
    <definedName name="Z_FCE88405_4714_4D74_94F3_740B2CFBD99E_.wvu.PrintArea" localSheetId="2" hidden="1">'2603월'!$A$1:$AY$39</definedName>
    <definedName name="Z_FCE88405_4714_4D74_94F3_740B2CFBD99E_.wvu.PrintArea" localSheetId="3" hidden="1">'2604월'!$A$1:$AY$38</definedName>
    <definedName name="Z_FCE88405_4714_4D74_94F3_740B2CFBD99E_.wvu.PrintArea" localSheetId="4" hidden="1">'2605월'!$A$1:$AY$39</definedName>
    <definedName name="Z_FCE88405_4714_4D74_94F3_740B2CFBD99E_.wvu.PrintArea" localSheetId="5" hidden="1">'2606월'!$A$1:$AY$38</definedName>
    <definedName name="Z_FD83D3F2_2D39_4E83_971F_5D52CF1C1CF5_.wvu.PrintArea" localSheetId="6" hidden="1">'2024년 전체'!$A$1:$BR$20</definedName>
    <definedName name="Z_FD83D3F2_2D39_4E83_971F_5D52CF1C1CF5_.wvu.PrintArea" localSheetId="7" hidden="1">'2025년 전체'!$A$1:$BR$20</definedName>
    <definedName name="Z_FD83D3F2_2D39_4E83_971F_5D52CF1C1CF5_.wvu.PrintArea" localSheetId="8" hidden="1">'2026년 전체'!$A$1:$BC$20</definedName>
    <definedName name="Z_FD83D3F2_2D39_4E83_971F_5D52CF1C1CF5_.wvu.PrintArea" localSheetId="0" hidden="1">'2601월'!$A$1:$BC$39</definedName>
    <definedName name="Z_FD83D3F2_2D39_4E83_971F_5D52CF1C1CF5_.wvu.PrintArea" localSheetId="1" hidden="1">'2602월'!$A$1:$BC$36</definedName>
    <definedName name="Z_FD83D3F2_2D39_4E83_971F_5D52CF1C1CF5_.wvu.PrintArea" localSheetId="2" hidden="1">'2603월'!$A$1:$BC$39</definedName>
    <definedName name="Z_FD83D3F2_2D39_4E83_971F_5D52CF1C1CF5_.wvu.PrintArea" localSheetId="3" hidden="1">'2604월'!$A$1:$BC$38</definedName>
    <definedName name="Z_FD83D3F2_2D39_4E83_971F_5D52CF1C1CF5_.wvu.PrintArea" localSheetId="4" hidden="1">'2605월'!$A$1:$BC$39</definedName>
    <definedName name="Z_FD83D3F2_2D39_4E83_971F_5D52CF1C1CF5_.wvu.PrintArea" localSheetId="5" hidden="1">'2606월'!$A$1:$BC$38</definedName>
    <definedName name="Z_FD9B06D4_8CAD_49ED_8A34_0D901B6C45A9_.wvu.Cols" localSheetId="0" hidden="1">'2601월'!$C:$C,'2601월'!$F:$F,'2601월'!$H:$O,'2601월'!$Q:$Q,'2601월'!$T:$T,'2601월'!$V:$AC,'2601월'!#REF!,'2601월'!#REF!,'2601월'!$AE:$AE,'2601월'!$AH:$AO,'2601월'!$AQ:$AQ,'2601월'!$AV:$AW,'2601월'!$AZ:$BD</definedName>
    <definedName name="Z_FD9B06D4_8CAD_49ED_8A34_0D901B6C45A9_.wvu.Cols" localSheetId="1" hidden="1">'2602월'!$C:$C,'2602월'!$F:$F,'2602월'!$H:$O,'2602월'!$Q:$Q,'2602월'!$T:$T,'2602월'!$V:$AC,'2602월'!#REF!,'2602월'!#REF!,'2602월'!$AE:$AE,'2602월'!$AH:$AO,'2602월'!$AQ:$AQ,'2602월'!$AV:$AW,'2602월'!$AZ:$BD</definedName>
    <definedName name="Z_FD9B06D4_8CAD_49ED_8A34_0D901B6C45A9_.wvu.Cols" localSheetId="2" hidden="1">'2603월'!$C:$C,'2603월'!$F:$F,'2603월'!$H:$O,'2603월'!$Q:$Q,'2603월'!$T:$T,'2603월'!$V:$AC,'2603월'!#REF!,'2603월'!#REF!,'2603월'!$AE:$AE,'2603월'!$AH:$AO,'2603월'!$AQ:$AQ,'2603월'!$AV:$AW,'2603월'!$AZ:$BD</definedName>
    <definedName name="Z_FD9B06D4_8CAD_49ED_8A34_0D901B6C45A9_.wvu.Cols" localSheetId="3" hidden="1">'2604월'!$C:$C,'2604월'!$F:$F,'2604월'!$H:$O,'2604월'!$Q:$Q,'2604월'!$T:$T,'2604월'!$V:$AC,'2604월'!#REF!,'2604월'!#REF!,'2604월'!$AE:$AE,'2604월'!$AH:$AO,'2604월'!$AQ:$AQ,'2604월'!$AV:$AW,'2604월'!$AZ:$BD</definedName>
    <definedName name="Z_FD9B06D4_8CAD_49ED_8A34_0D901B6C45A9_.wvu.Cols" localSheetId="4" hidden="1">'2605월'!$C:$C,'2605월'!$F:$F,'2605월'!$H:$O,'2605월'!$Q:$Q,'2605월'!$T:$T,'2605월'!$V:$AC,'2605월'!#REF!,'2605월'!#REF!,'2605월'!$AE:$AE,'2605월'!$AH:$AO,'2605월'!$AQ:$AQ,'2605월'!$AV:$AW,'2605월'!$AZ:$BD</definedName>
    <definedName name="Z_FD9B06D4_8CAD_49ED_8A34_0D901B6C45A9_.wvu.Cols" localSheetId="5" hidden="1">'2606월'!$C:$C,'2606월'!$F:$F,'2606월'!$H:$O,'2606월'!$Q:$Q,'2606월'!$T:$T,'2606월'!$V:$AC,'2606월'!#REF!,'2606월'!#REF!,'2606월'!$AE:$AE,'2606월'!$AH:$AO,'2606월'!$AQ:$AQ,'2606월'!$AV:$AW,'2606월'!$AZ:$BD</definedName>
    <definedName name="Z_FD9B06D4_8CAD_49ED_8A34_0D901B6C45A9_.wvu.PrintArea" localSheetId="6" hidden="1">'2024년 전체'!$A$1:$BN$20</definedName>
    <definedName name="Z_FD9B06D4_8CAD_49ED_8A34_0D901B6C45A9_.wvu.PrintArea" localSheetId="7" hidden="1">'2025년 전체'!$A$1:$BN$20</definedName>
    <definedName name="Z_FD9B06D4_8CAD_49ED_8A34_0D901B6C45A9_.wvu.PrintArea" localSheetId="8" hidden="1">'2026년 전체'!$A$1:$AY$20</definedName>
    <definedName name="Z_FD9B06D4_8CAD_49ED_8A34_0D901B6C45A9_.wvu.PrintArea" localSheetId="0" hidden="1">'2601월'!$A$1:$AY$39</definedName>
    <definedName name="Z_FD9B06D4_8CAD_49ED_8A34_0D901B6C45A9_.wvu.PrintArea" localSheetId="1" hidden="1">'2602월'!$A$1:$AY$36</definedName>
    <definedName name="Z_FD9B06D4_8CAD_49ED_8A34_0D901B6C45A9_.wvu.PrintArea" localSheetId="2" hidden="1">'2603월'!$A$1:$AY$39</definedName>
    <definedName name="Z_FD9B06D4_8CAD_49ED_8A34_0D901B6C45A9_.wvu.PrintArea" localSheetId="3" hidden="1">'2604월'!$A$1:$AY$38</definedName>
    <definedName name="Z_FD9B06D4_8CAD_49ED_8A34_0D901B6C45A9_.wvu.PrintArea" localSheetId="4" hidden="1">'2605월'!$A$1:$AY$39</definedName>
    <definedName name="Z_FD9B06D4_8CAD_49ED_8A34_0D901B6C45A9_.wvu.PrintArea" localSheetId="5" hidden="1">'2606월'!$A$1:$AY$38</definedName>
    <definedName name="Z_FDBB9DC7_F955_4A78_A8D2_6870F4843EB6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FDBB9DC7_F955_4A78_A8D2_6870F4843EB6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FDBB9DC7_F955_4A78_A8D2_6870F4843EB6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FDBB9DC7_F955_4A78_A8D2_6870F4843EB6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FDBB9DC7_F955_4A78_A8D2_6870F4843EB6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FDBB9DC7_F955_4A78_A8D2_6870F4843EB6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FDBB9DC7_F955_4A78_A8D2_6870F4843EB6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FDBB9DC7_F955_4A78_A8D2_6870F4843EB6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FDBB9DC7_F955_4A78_A8D2_6870F4843EB6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FDBB9DC7_F955_4A78_A8D2_6870F4843EB6_.wvu.PrintArea" localSheetId="6" hidden="1">'2024년 전체'!$A$1:$BR$20</definedName>
    <definedName name="Z_FDBB9DC7_F955_4A78_A8D2_6870F4843EB6_.wvu.PrintArea" localSheetId="7" hidden="1">'2025년 전체'!$A$1:$BR$20</definedName>
    <definedName name="Z_FDBB9DC7_F955_4A78_A8D2_6870F4843EB6_.wvu.PrintArea" localSheetId="8" hidden="1">'2026년 전체'!$A$1:$BC$20</definedName>
    <definedName name="Z_FDBB9DC7_F955_4A78_A8D2_6870F4843EB6_.wvu.PrintArea" localSheetId="0" hidden="1">'2601월'!$A$1:$BC$39</definedName>
    <definedName name="Z_FDBB9DC7_F955_4A78_A8D2_6870F4843EB6_.wvu.PrintArea" localSheetId="1" hidden="1">'2602월'!$A$1:$BC$36</definedName>
    <definedName name="Z_FDBB9DC7_F955_4A78_A8D2_6870F4843EB6_.wvu.PrintArea" localSheetId="2" hidden="1">'2603월'!$A$1:$BC$39</definedName>
    <definedName name="Z_FDBB9DC7_F955_4A78_A8D2_6870F4843EB6_.wvu.PrintArea" localSheetId="3" hidden="1">'2604월'!$A$1:$BC$38</definedName>
    <definedName name="Z_FDBB9DC7_F955_4A78_A8D2_6870F4843EB6_.wvu.PrintArea" localSheetId="4" hidden="1">'2605월'!$A$1:$BC$39</definedName>
    <definedName name="Z_FDBB9DC7_F955_4A78_A8D2_6870F4843EB6_.wvu.PrintArea" localSheetId="5" hidden="1">'2606월'!$A$1:$BC$38</definedName>
    <definedName name="Z_FF2391EC_8805_4C74_8BAF_973ABB7C8FA2_.wvu.Cols" localSheetId="6" hidden="1">'2024년 전체'!$C:$C,'2024년 전체'!$F:$F,'2024년 전체'!$H:$O,'2024년 전체'!$Q:$Q,'2024년 전체'!$T:$T,'2024년 전체'!$V:$AC,'2024년 전체'!$AE:$AE,'2024년 전체'!$AK:$AR,'2024년 전체'!$AT:$AT,'2024년 전체'!$AW:$BD,'2024년 전체'!$BF:$BF,'2024년 전체'!$BK:$BL</definedName>
    <definedName name="Z_FF2391EC_8805_4C74_8BAF_973ABB7C8FA2_.wvu.Cols" localSheetId="7" hidden="1">'2025년 전체'!$C:$C,'2025년 전체'!$F:$F,'2025년 전체'!$H:$O,'2025년 전체'!$Q:$Q,'2025년 전체'!$T:$T,'2025년 전체'!$V:$AC,'2025년 전체'!$AE:$AE,'2025년 전체'!$AK:$AR,'2025년 전체'!$AT:$AT,'2025년 전체'!$AW:$BD,'2025년 전체'!$BF:$BF,'2025년 전체'!$BK:$BL</definedName>
    <definedName name="Z_FF2391EC_8805_4C74_8BAF_973ABB7C8FA2_.wvu.Cols" localSheetId="8" hidden="1">'2026년 전체'!$C:$C,'2026년 전체'!$F:$F,'2026년 전체'!$H:$O,'2026년 전체'!$Q:$Q,'2026년 전체'!$T:$T,'2026년 전체'!$V:$AC,'2026년 전체'!#REF!,'2026년 전체'!#REF!,'2026년 전체'!$AE:$AE,'2026년 전체'!$AH:$AO,'2026년 전체'!$AQ:$AQ,'2026년 전체'!$AV:$AW</definedName>
    <definedName name="Z_FF2391EC_8805_4C74_8BAF_973ABB7C8FA2_.wvu.Cols" localSheetId="0" hidden="1">'2601월'!$C:$C,'2601월'!$F:$F,'2601월'!$H:$O,'2601월'!$Q:$Q,'2601월'!$T:$T,'2601월'!$V:$AC,'2601월'!#REF!,'2601월'!#REF!,'2601월'!$AE:$AE,'2601월'!$AH:$AO,'2601월'!$AQ:$AQ,'2601월'!$AV:$AW</definedName>
    <definedName name="Z_FF2391EC_8805_4C74_8BAF_973ABB7C8FA2_.wvu.Cols" localSheetId="1" hidden="1">'2602월'!$C:$C,'2602월'!$F:$F,'2602월'!$H:$O,'2602월'!$Q:$Q,'2602월'!$T:$T,'2602월'!$V:$AC,'2602월'!#REF!,'2602월'!#REF!,'2602월'!$AE:$AE,'2602월'!$AH:$AO,'2602월'!$AQ:$AQ,'2602월'!$AV:$AW</definedName>
    <definedName name="Z_FF2391EC_8805_4C74_8BAF_973ABB7C8FA2_.wvu.Cols" localSheetId="2" hidden="1">'2603월'!$C:$C,'2603월'!$F:$F,'2603월'!$H:$O,'2603월'!$Q:$Q,'2603월'!$T:$T,'2603월'!$V:$AC,'2603월'!#REF!,'2603월'!#REF!,'2603월'!$AE:$AE,'2603월'!$AH:$AO,'2603월'!$AQ:$AQ,'2603월'!$AV:$AW</definedName>
    <definedName name="Z_FF2391EC_8805_4C74_8BAF_973ABB7C8FA2_.wvu.Cols" localSheetId="3" hidden="1">'2604월'!$C:$C,'2604월'!$F:$F,'2604월'!$H:$O,'2604월'!$Q:$Q,'2604월'!$T:$T,'2604월'!$V:$AC,'2604월'!#REF!,'2604월'!#REF!,'2604월'!$AE:$AE,'2604월'!$AH:$AO,'2604월'!$AQ:$AQ,'2604월'!$AV:$AW</definedName>
    <definedName name="Z_FF2391EC_8805_4C74_8BAF_973ABB7C8FA2_.wvu.Cols" localSheetId="4" hidden="1">'2605월'!$C:$C,'2605월'!$F:$F,'2605월'!$H:$O,'2605월'!$Q:$Q,'2605월'!$T:$T,'2605월'!$V:$AC,'2605월'!#REF!,'2605월'!#REF!,'2605월'!$AE:$AE,'2605월'!$AH:$AO,'2605월'!$AQ:$AQ,'2605월'!$AV:$AW</definedName>
    <definedName name="Z_FF2391EC_8805_4C74_8BAF_973ABB7C8FA2_.wvu.Cols" localSheetId="5" hidden="1">'2606월'!$C:$C,'2606월'!$F:$F,'2606월'!$H:$O,'2606월'!$Q:$Q,'2606월'!$T:$T,'2606월'!$V:$AC,'2606월'!#REF!,'2606월'!#REF!,'2606월'!$AE:$AE,'2606월'!$AH:$AO,'2606월'!$AQ:$AQ,'2606월'!$AV:$AW</definedName>
    <definedName name="Z_FF2391EC_8805_4C74_8BAF_973ABB7C8FA2_.wvu.PrintArea" localSheetId="6" hidden="1">'2024년 전체'!$A$1:$BN$20</definedName>
    <definedName name="Z_FF2391EC_8805_4C74_8BAF_973ABB7C8FA2_.wvu.PrintArea" localSheetId="7" hidden="1">'2025년 전체'!$A$1:$BN$20</definedName>
    <definedName name="Z_FF2391EC_8805_4C74_8BAF_973ABB7C8FA2_.wvu.PrintArea" localSheetId="8" hidden="1">'2026년 전체'!$A$1:$AY$20</definedName>
    <definedName name="Z_FF2391EC_8805_4C74_8BAF_973ABB7C8FA2_.wvu.PrintArea" localSheetId="0" hidden="1">'2601월'!$A$1:$AY$39</definedName>
    <definedName name="Z_FF2391EC_8805_4C74_8BAF_973ABB7C8FA2_.wvu.PrintArea" localSheetId="1" hidden="1">'2602월'!$A$1:$AY$36</definedName>
    <definedName name="Z_FF2391EC_8805_4C74_8BAF_973ABB7C8FA2_.wvu.PrintArea" localSheetId="2" hidden="1">'2603월'!$A$1:$AY$39</definedName>
    <definedName name="Z_FF2391EC_8805_4C74_8BAF_973ABB7C8FA2_.wvu.PrintArea" localSheetId="3" hidden="1">'2604월'!$A$1:$AY$38</definedName>
    <definedName name="Z_FF2391EC_8805_4C74_8BAF_973ABB7C8FA2_.wvu.PrintArea" localSheetId="4" hidden="1">'2605월'!$A$1:$AY$39</definedName>
    <definedName name="Z_FF2391EC_8805_4C74_8BAF_973ABB7C8FA2_.wvu.PrintArea" localSheetId="5" hidden="1">'2606월'!$A$1:$AY$38</definedName>
    <definedName name="Z_FFA1F6AD_A298_4541_BF1B_07731333D721_.wvu.Cols" localSheetId="6" hidden="1">'2024년 전체'!$C:$C,'2024년 전체'!$F:$F,'2024년 전체'!$H:$O,'2024년 전체'!$Q:$Q,'2024년 전체'!$T:$T,'2024년 전체'!$V:$AC,'2024년 전체'!$AE:$AE,'2024년 전체'!$AH:$AH,'2024년 전체'!$AK:$AR,'2024년 전체'!$AT:$AT,'2024년 전체'!$AW:$BD,'2024년 전체'!$BF:$BF,'2024년 전체'!$BK:$BL</definedName>
    <definedName name="Z_FFA1F6AD_A298_4541_BF1B_07731333D721_.wvu.Cols" localSheetId="7" hidden="1">'2025년 전체'!$C:$C,'2025년 전체'!$F:$F,'2025년 전체'!$H:$O,'2025년 전체'!$Q:$Q,'2025년 전체'!$T:$T,'2025년 전체'!$V:$AC,'2025년 전체'!$AE:$AE,'2025년 전체'!$AH:$AH,'2025년 전체'!$AK:$AR,'2025년 전체'!$AT:$AT,'2025년 전체'!$AW:$BD,'2025년 전체'!$BF:$BF,'2025년 전체'!$BK:$BL</definedName>
    <definedName name="Z_FFA1F6AD_A298_4541_BF1B_07731333D721_.wvu.Cols" localSheetId="8" hidden="1">'2026년 전체'!$C:$C,'2026년 전체'!$F:$F,'2026년 전체'!$H:$O,'2026년 전체'!$Q:$Q,'2026년 전체'!$T:$T,'2026년 전체'!$V:$AC,'2026년 전체'!#REF!,'2026년 전체'!#REF!,'2026년 전체'!#REF!,'2026년 전체'!$AE:$AE,'2026년 전체'!$AH:$AO,'2026년 전체'!$AQ:$AQ,'2026년 전체'!$AV:$AW</definedName>
    <definedName name="Z_FFA1F6AD_A298_4541_BF1B_07731333D721_.wvu.PrintArea" localSheetId="6" hidden="1">'2024년 전체'!$A$1:$BN$20</definedName>
    <definedName name="Z_FFA1F6AD_A298_4541_BF1B_07731333D721_.wvu.PrintArea" localSheetId="7" hidden="1">'2025년 전체'!$A$1:$BN$20</definedName>
    <definedName name="Z_FFA1F6AD_A298_4541_BF1B_07731333D721_.wvu.PrintArea" localSheetId="8" hidden="1">'2026년 전체'!$A$1:$AY$20</definedName>
    <definedName name="Z_FFA1F6AD_A298_4541_BF1B_07731333D721_.wvu.PrintArea" localSheetId="0" hidden="1">'2601월'!$A$1:$AY$39</definedName>
    <definedName name="Z_FFA1F6AD_A298_4541_BF1B_07731333D721_.wvu.PrintArea" localSheetId="1" hidden="1">'2602월'!$A$1:$AY$36</definedName>
    <definedName name="Z_FFA1F6AD_A298_4541_BF1B_07731333D721_.wvu.PrintArea" localSheetId="2" hidden="1">'2603월'!$A$1:$AY$39</definedName>
    <definedName name="Z_FFA1F6AD_A298_4541_BF1B_07731333D721_.wvu.PrintArea" localSheetId="3" hidden="1">'2604월'!$A$1:$AY$38</definedName>
    <definedName name="Z_FFA1F6AD_A298_4541_BF1B_07731333D721_.wvu.PrintArea" localSheetId="4" hidden="1">'2605월'!$A$1:$AY$39</definedName>
    <definedName name="Z_FFA1F6AD_A298_4541_BF1B_07731333D721_.wvu.PrintArea" localSheetId="5" hidden="1">'2606월'!$A$1:$AY$38</definedName>
  </definedNames>
  <calcPr calcId="162913"/>
  <customWorkbookViews>
    <customWorkbookView name="2026    04" guid="{92DE7E81-188B-400C-BE95-FD63ABDF8569}" maximized="1" xWindow="-8" yWindow="-8" windowWidth="1936" windowHeight="1048" activeSheetId="7"/>
    <customWorkbookView name="2026    01" guid="{EBC6F117-7011-42E1-9204-AFA5AE46444E}" maximized="1" windowWidth="1920" windowHeight="837" activeSheetId="1"/>
    <customWorkbookView name="2025년 전체" guid="{B36B1895-E9A1-4552-80C2-AE733C5D8FC0}" maximized="1" windowWidth="1920" windowHeight="837" activeSheetId="3"/>
    <customWorkbookView name="2024년 전체" guid="{D392CFE5-9754-418C-A1C2-3219D700ECE9}" maximized="1" windowWidth="1920" windowHeight="837" activeSheetId="4"/>
    <customWorkbookView name="2026    02" guid="{611C8E2F-3E2A-4A2A-9E9E-AAFA15EA9C86}" maximized="1" xWindow="-8" yWindow="-8" windowWidth="1936" windowHeight="1048" activeSheetId="5"/>
    <customWorkbookView name="2026    03" guid="{6014EC6B-E951-4001-A680-AFB52E04C0CC}" maximized="1" xWindow="-8" yWindow="-8" windowWidth="1936" windowHeight="1048" activeSheetId="8"/>
    <customWorkbookView name="2026    05" guid="{F59DFEB7-288F-42CE-BE14-615E48269161}" maximized="1" xWindow="-8" yWindow="-8" windowWidth="1936" windowHeight="1048" activeSheetId="9"/>
    <customWorkbookView name="2026    06" guid="{A4746F86-270C-49F3-80CC-40F07775E69C}" maximized="1" xWindow="-8" yWindow="-8" windowWidth="1936" windowHeight="1048" activeSheetId="10"/>
  </customWorkbookViews>
</workbook>
</file>

<file path=xl/calcChain.xml><?xml version="1.0" encoding="utf-8"?>
<calcChain xmlns="http://schemas.openxmlformats.org/spreadsheetml/2006/main">
  <c r="BB15" i="10" l="1"/>
  <c r="BA15" i="10"/>
  <c r="AZ15" i="10"/>
  <c r="BC15" i="10" s="1"/>
  <c r="AY15" i="10"/>
  <c r="AX15" i="10"/>
  <c r="AW15" i="10"/>
  <c r="AV15" i="10"/>
  <c r="AT15" i="10"/>
  <c r="AS15" i="10"/>
  <c r="AU15" i="10" s="1"/>
  <c r="AS12" i="10"/>
  <c r="AT12" i="10"/>
  <c r="AU12" i="10"/>
  <c r="AV12" i="10"/>
  <c r="AW12" i="10"/>
  <c r="AX12" i="10"/>
  <c r="AY12" i="10"/>
  <c r="AZ12" i="10"/>
  <c r="BA12" i="10"/>
  <c r="BB12" i="10"/>
  <c r="BC12" i="10"/>
  <c r="AP15" i="10"/>
  <c r="AR15" i="10" s="1"/>
  <c r="AO15" i="10"/>
  <c r="AG15" i="10"/>
  <c r="AF15" i="10"/>
  <c r="AC15" i="10"/>
  <c r="U15" i="10"/>
  <c r="R15" i="10"/>
  <c r="O15" i="10"/>
  <c r="G15" i="10"/>
  <c r="D15" i="10"/>
  <c r="AR12" i="10" l="1"/>
  <c r="AP12" i="10"/>
  <c r="AO12" i="10"/>
  <c r="AG12" i="10"/>
  <c r="AF12" i="10"/>
  <c r="AC12" i="10"/>
  <c r="U12" i="10"/>
  <c r="R12" i="10"/>
  <c r="O12" i="10"/>
  <c r="G12" i="10"/>
  <c r="D12" i="10"/>
  <c r="BB11" i="10" l="1"/>
  <c r="BA11" i="10"/>
  <c r="AZ11" i="10"/>
  <c r="BC11" i="10" s="1"/>
  <c r="AY11" i="10"/>
  <c r="AX11" i="10"/>
  <c r="AW11" i="10"/>
  <c r="AV11" i="10"/>
  <c r="AT11" i="10"/>
  <c r="AS11" i="10"/>
  <c r="AU11" i="10" s="1"/>
  <c r="AR11" i="10"/>
  <c r="AP11" i="10"/>
  <c r="AO11" i="10"/>
  <c r="AG11" i="10"/>
  <c r="AF11" i="10"/>
  <c r="AC11" i="10"/>
  <c r="U11" i="10"/>
  <c r="R11" i="10"/>
  <c r="O11" i="10"/>
  <c r="G11" i="10"/>
  <c r="D11" i="10"/>
  <c r="BB9" i="10" l="1"/>
  <c r="BA9" i="10"/>
  <c r="AZ9" i="10"/>
  <c r="BC9" i="10" s="1"/>
  <c r="AY9" i="10"/>
  <c r="AX9" i="10"/>
  <c r="AW9" i="10"/>
  <c r="AV9" i="10"/>
  <c r="AT9" i="10"/>
  <c r="AS9" i="10"/>
  <c r="AU9" i="10" s="1"/>
  <c r="AR9" i="10"/>
  <c r="AP9" i="10"/>
  <c r="AO9" i="10"/>
  <c r="AG9" i="10"/>
  <c r="AF9" i="10"/>
  <c r="AC9" i="10"/>
  <c r="U9" i="10"/>
  <c r="R9" i="10"/>
  <c r="O9" i="10"/>
  <c r="G9" i="10"/>
  <c r="D9" i="10"/>
  <c r="AL25" i="9" l="1"/>
  <c r="BD38" i="10"/>
  <c r="AQ38" i="10"/>
  <c r="AN38" i="10"/>
  <c r="AM38" i="10"/>
  <c r="AL38" i="10"/>
  <c r="AK38" i="10"/>
  <c r="AJ38" i="10"/>
  <c r="AI38" i="10"/>
  <c r="AH38" i="10"/>
  <c r="AE38" i="10"/>
  <c r="AD38" i="10"/>
  <c r="AB38" i="10"/>
  <c r="AA38" i="10"/>
  <c r="Z38" i="10"/>
  <c r="Y38" i="10"/>
  <c r="X38" i="10"/>
  <c r="W38" i="10"/>
  <c r="V38" i="10"/>
  <c r="T38" i="10"/>
  <c r="S38" i="10"/>
  <c r="Q38" i="10"/>
  <c r="P38" i="10"/>
  <c r="N38" i="10"/>
  <c r="M38" i="10"/>
  <c r="L38" i="10"/>
  <c r="K38" i="10"/>
  <c r="J38" i="10"/>
  <c r="I38" i="10"/>
  <c r="H38" i="10"/>
  <c r="F38" i="10"/>
  <c r="E38" i="10"/>
  <c r="C38" i="10"/>
  <c r="B38" i="10"/>
  <c r="BB8" i="10"/>
  <c r="BB38" i="10" s="1"/>
  <c r="BA8" i="10"/>
  <c r="BA38" i="10" s="1"/>
  <c r="AZ8" i="10"/>
  <c r="AZ38" i="10" s="1"/>
  <c r="AY8" i="10"/>
  <c r="AY38" i="10" s="1"/>
  <c r="AX8" i="10"/>
  <c r="AX38" i="10" s="1"/>
  <c r="AW8" i="10"/>
  <c r="AW38" i="10" s="1"/>
  <c r="AV8" i="10"/>
  <c r="AV38" i="10" s="1"/>
  <c r="AT8" i="10"/>
  <c r="AT38" i="10" s="1"/>
  <c r="AS8" i="10"/>
  <c r="AS38" i="10" s="1"/>
  <c r="AP8" i="10"/>
  <c r="AR8" i="10" s="1"/>
  <c r="AO8" i="10"/>
  <c r="AO38" i="10" s="1"/>
  <c r="AG8" i="10"/>
  <c r="AG38" i="10" s="1"/>
  <c r="AF8" i="10"/>
  <c r="AC8" i="10"/>
  <c r="U8" i="10"/>
  <c r="R8" i="10"/>
  <c r="O8" i="10"/>
  <c r="G8" i="10"/>
  <c r="D8" i="10"/>
  <c r="R38" i="10" l="1"/>
  <c r="D38" i="10"/>
  <c r="AC38" i="10"/>
  <c r="O38" i="10"/>
  <c r="AF38" i="10"/>
  <c r="BC8" i="10"/>
  <c r="U38" i="10"/>
  <c r="BC38" i="10"/>
  <c r="G38" i="10"/>
  <c r="AU8" i="10"/>
  <c r="AP38" i="10"/>
  <c r="AR38" i="10" s="1"/>
  <c r="AR36" i="9"/>
  <c r="AO36" i="9"/>
  <c r="BB36" i="9"/>
  <c r="BC36" i="9"/>
  <c r="BA36" i="9"/>
  <c r="AZ36" i="9"/>
  <c r="AY36" i="9"/>
  <c r="AX36" i="9"/>
  <c r="AW36" i="9"/>
  <c r="AV36" i="9"/>
  <c r="AF36" i="9"/>
  <c r="AG36" i="9"/>
  <c r="AP36" i="9"/>
  <c r="AU36" i="9"/>
  <c r="AC36" i="9"/>
  <c r="U36" i="9"/>
  <c r="AT36" i="9"/>
  <c r="AS36" i="9"/>
  <c r="R36" i="9"/>
  <c r="O36" i="9"/>
  <c r="G36" i="9"/>
  <c r="D36" i="9"/>
  <c r="BB38" i="9"/>
  <c r="BA38" i="9"/>
  <c r="AZ38" i="9"/>
  <c r="BC38" i="9" s="1"/>
  <c r="AY38" i="9"/>
  <c r="AX38" i="9"/>
  <c r="AW38" i="9"/>
  <c r="AV38" i="9"/>
  <c r="AT38" i="9"/>
  <c r="AU38" i="9" s="1"/>
  <c r="AS38" i="9"/>
  <c r="AP38" i="9"/>
  <c r="AO38" i="9"/>
  <c r="AG38" i="9"/>
  <c r="AC38" i="9"/>
  <c r="U38" i="9"/>
  <c r="O38" i="9"/>
  <c r="G38" i="9"/>
  <c r="BB37" i="9"/>
  <c r="BA37" i="9"/>
  <c r="AZ37" i="9"/>
  <c r="BC37" i="9" s="1"/>
  <c r="AY37" i="9"/>
  <c r="AX37" i="9"/>
  <c r="AW37" i="9"/>
  <c r="AV37" i="9"/>
  <c r="AT37" i="9"/>
  <c r="AS37" i="9"/>
  <c r="AP37" i="9"/>
  <c r="AU37" i="9" s="1"/>
  <c r="AO37" i="9"/>
  <c r="AG37" i="9"/>
  <c r="AC37" i="9"/>
  <c r="U37" i="9"/>
  <c r="O37" i="9"/>
  <c r="G37" i="9"/>
  <c r="AU38" i="10" l="1"/>
  <c r="AR35" i="9"/>
  <c r="AO35" i="9"/>
  <c r="BB35" i="9"/>
  <c r="BC35" i="9" s="1"/>
  <c r="BA35" i="9"/>
  <c r="AZ35" i="9"/>
  <c r="AY35" i="9"/>
  <c r="AX35" i="9"/>
  <c r="AW35" i="9"/>
  <c r="AV35" i="9"/>
  <c r="AF35" i="9"/>
  <c r="AG35" i="9"/>
  <c r="AP35" i="9"/>
  <c r="AC35" i="9"/>
  <c r="U35" i="9"/>
  <c r="AT35" i="9"/>
  <c r="AS35" i="9"/>
  <c r="AU35" i="9" s="1"/>
  <c r="R35" i="9"/>
  <c r="O35" i="9"/>
  <c r="G35" i="9"/>
  <c r="D35" i="9"/>
  <c r="AJ18" i="9" l="1"/>
  <c r="AR34" i="9" l="1"/>
  <c r="AO34" i="9"/>
  <c r="BB34" i="9"/>
  <c r="BC34" i="9" s="1"/>
  <c r="BA34" i="9"/>
  <c r="AZ34" i="9"/>
  <c r="AY34" i="9"/>
  <c r="AX34" i="9"/>
  <c r="AW34" i="9"/>
  <c r="AV34" i="9"/>
  <c r="AF34" i="9"/>
  <c r="AG34" i="9"/>
  <c r="AP34" i="9"/>
  <c r="AU34" i="9" s="1"/>
  <c r="AC34" i="9"/>
  <c r="U34" i="9"/>
  <c r="AT34" i="9"/>
  <c r="AS34" i="9"/>
  <c r="R34" i="9"/>
  <c r="O34" i="9"/>
  <c r="G34" i="9"/>
  <c r="D34" i="9"/>
  <c r="AR33" i="9" l="1"/>
  <c r="AO33" i="9"/>
  <c r="BB33" i="9"/>
  <c r="BC33" i="9"/>
  <c r="BA33" i="9"/>
  <c r="AZ33" i="9"/>
  <c r="AY33" i="9"/>
  <c r="AX33" i="9"/>
  <c r="AW33" i="9"/>
  <c r="AV33" i="9"/>
  <c r="AF33" i="9"/>
  <c r="AG33" i="9"/>
  <c r="AP33" i="9"/>
  <c r="AU33" i="9"/>
  <c r="AC33" i="9"/>
  <c r="U33" i="9"/>
  <c r="AT33" i="9"/>
  <c r="AS33" i="9"/>
  <c r="R33" i="9"/>
  <c r="O33" i="9"/>
  <c r="G33" i="9"/>
  <c r="D33" i="9"/>
  <c r="BC32" i="9"/>
  <c r="BB32" i="9"/>
  <c r="BA32" i="9"/>
  <c r="AZ32" i="9"/>
  <c r="AY32" i="9"/>
  <c r="AX32" i="9"/>
  <c r="AW32" i="9"/>
  <c r="AV32" i="9"/>
  <c r="AT32" i="9"/>
  <c r="AS32" i="9"/>
  <c r="AP32" i="9"/>
  <c r="AU32" i="9" s="1"/>
  <c r="AO32" i="9"/>
  <c r="AG32" i="9"/>
  <c r="AC32" i="9"/>
  <c r="U32" i="9"/>
  <c r="O32" i="9"/>
  <c r="G32" i="9"/>
  <c r="BB31" i="9"/>
  <c r="BA31" i="9"/>
  <c r="AZ31" i="9"/>
  <c r="BC31" i="9" s="1"/>
  <c r="AY31" i="9"/>
  <c r="AX31" i="9"/>
  <c r="AW31" i="9"/>
  <c r="AV31" i="9"/>
  <c r="AT31" i="9"/>
  <c r="AS31" i="9"/>
  <c r="AP31" i="9"/>
  <c r="AU31" i="9" s="1"/>
  <c r="AO31" i="9"/>
  <c r="AG31" i="9"/>
  <c r="AC31" i="9"/>
  <c r="U31" i="9"/>
  <c r="O31" i="9"/>
  <c r="G31" i="9"/>
  <c r="BB30" i="9"/>
  <c r="BA30" i="9"/>
  <c r="AZ30" i="9"/>
  <c r="BC30" i="9" s="1"/>
  <c r="AY30" i="9"/>
  <c r="AX30" i="9"/>
  <c r="AW30" i="9"/>
  <c r="AV30" i="9"/>
  <c r="AT30" i="9"/>
  <c r="AS30" i="9"/>
  <c r="AP30" i="9"/>
  <c r="AU30" i="9" s="1"/>
  <c r="AO30" i="9"/>
  <c r="AG30" i="9"/>
  <c r="AC30" i="9"/>
  <c r="U30" i="9"/>
  <c r="O30" i="9"/>
  <c r="G30" i="9"/>
  <c r="AO29" i="9" l="1"/>
  <c r="BB29" i="9"/>
  <c r="BC29" i="9"/>
  <c r="BA29" i="9"/>
  <c r="AZ29" i="9"/>
  <c r="AY29" i="9"/>
  <c r="AX29" i="9"/>
  <c r="AW29" i="9"/>
  <c r="AV29" i="9"/>
  <c r="AF29" i="9"/>
  <c r="AG29" i="9"/>
  <c r="AP29" i="9"/>
  <c r="AR29" i="9"/>
  <c r="AU29" i="9"/>
  <c r="AC29" i="9"/>
  <c r="U29" i="9"/>
  <c r="AT29" i="9"/>
  <c r="AS29" i="9"/>
  <c r="R29" i="9"/>
  <c r="O29" i="9"/>
  <c r="G29" i="9"/>
  <c r="D29" i="9"/>
  <c r="AR28" i="9" l="1"/>
  <c r="AO28" i="9"/>
  <c r="BB28" i="9"/>
  <c r="BC28" i="9"/>
  <c r="BA28" i="9"/>
  <c r="AZ28" i="9"/>
  <c r="AY28" i="9"/>
  <c r="AX28" i="9"/>
  <c r="AW28" i="9"/>
  <c r="AV28" i="9"/>
  <c r="AF28" i="9"/>
  <c r="AG28" i="9"/>
  <c r="AP28" i="9"/>
  <c r="AU28" i="9"/>
  <c r="AC28" i="9"/>
  <c r="U28" i="9"/>
  <c r="AT28" i="9"/>
  <c r="AS28" i="9"/>
  <c r="R28" i="9"/>
  <c r="O28" i="9"/>
  <c r="G28" i="9"/>
  <c r="D28" i="9"/>
  <c r="AM11" i="9" l="1"/>
  <c r="AR27" i="9" l="1"/>
  <c r="AO27" i="9"/>
  <c r="BB27" i="9"/>
  <c r="BC27" i="9"/>
  <c r="BA27" i="9"/>
  <c r="AZ27" i="9"/>
  <c r="AY27" i="9"/>
  <c r="AX27" i="9"/>
  <c r="AW27" i="9"/>
  <c r="AV27" i="9"/>
  <c r="AF27" i="9"/>
  <c r="AG27" i="9"/>
  <c r="AP27" i="9"/>
  <c r="AC27" i="9"/>
  <c r="U27" i="9"/>
  <c r="AT27" i="9"/>
  <c r="AS27" i="9"/>
  <c r="AU27" i="9" s="1"/>
  <c r="R27" i="9"/>
  <c r="O27" i="9"/>
  <c r="G27" i="9"/>
  <c r="D27" i="9"/>
  <c r="AR26" i="9" l="1"/>
  <c r="AO26" i="9"/>
  <c r="BB26" i="9"/>
  <c r="BC26" i="9" s="1"/>
  <c r="BA26" i="9"/>
  <c r="AZ26" i="9"/>
  <c r="AY26" i="9"/>
  <c r="AX26" i="9"/>
  <c r="AW26" i="9"/>
  <c r="AV26" i="9"/>
  <c r="AF26" i="9"/>
  <c r="AG26" i="9"/>
  <c r="AP26" i="9"/>
  <c r="AU26" i="9"/>
  <c r="AC26" i="9"/>
  <c r="U26" i="9"/>
  <c r="AT26" i="9"/>
  <c r="AS26" i="9"/>
  <c r="R26" i="9"/>
  <c r="O26" i="9"/>
  <c r="G26" i="9"/>
  <c r="D26" i="9"/>
  <c r="AR25" i="9" l="1"/>
  <c r="AO25" i="9"/>
  <c r="BB25" i="9"/>
  <c r="BA25" i="9"/>
  <c r="BC25" i="9" s="1"/>
  <c r="AZ25" i="9"/>
  <c r="AY25" i="9"/>
  <c r="AX25" i="9"/>
  <c r="AW25" i="9"/>
  <c r="AV25" i="9"/>
  <c r="AF25" i="9"/>
  <c r="AG25" i="9"/>
  <c r="AP25" i="9"/>
  <c r="AU25" i="9"/>
  <c r="AC25" i="9"/>
  <c r="U25" i="9"/>
  <c r="AT25" i="9"/>
  <c r="AS25" i="9"/>
  <c r="R25" i="9"/>
  <c r="O25" i="9"/>
  <c r="G25" i="9"/>
  <c r="D25" i="9"/>
  <c r="BB24" i="9"/>
  <c r="BA24" i="9"/>
  <c r="AZ24" i="9"/>
  <c r="BC24" i="9" s="1"/>
  <c r="AY24" i="9"/>
  <c r="AX24" i="9"/>
  <c r="AW24" i="9"/>
  <c r="AV24" i="9"/>
  <c r="AU24" i="9"/>
  <c r="AT24" i="9"/>
  <c r="AS24" i="9"/>
  <c r="AP24" i="9"/>
  <c r="AO24" i="9"/>
  <c r="AG24" i="9"/>
  <c r="AC24" i="9"/>
  <c r="U24" i="9"/>
  <c r="O24" i="9"/>
  <c r="G24" i="9"/>
  <c r="BC23" i="9"/>
  <c r="BB23" i="9"/>
  <c r="BA23" i="9"/>
  <c r="AZ23" i="9"/>
  <c r="AY23" i="9"/>
  <c r="AX23" i="9"/>
  <c r="AW23" i="9"/>
  <c r="AV23" i="9"/>
  <c r="AT23" i="9"/>
  <c r="AS23" i="9"/>
  <c r="AP23" i="9"/>
  <c r="AU23" i="9" s="1"/>
  <c r="AO23" i="9"/>
  <c r="AG23" i="9"/>
  <c r="AC23" i="9"/>
  <c r="U23" i="9"/>
  <c r="O23" i="9"/>
  <c r="G23" i="9"/>
  <c r="AO22" i="9" l="1"/>
  <c r="BB22" i="9"/>
  <c r="BC22" i="9"/>
  <c r="BA22" i="9"/>
  <c r="AZ22" i="9"/>
  <c r="AY22" i="9"/>
  <c r="AX22" i="9"/>
  <c r="AW22" i="9"/>
  <c r="AV22" i="9"/>
  <c r="AF22" i="9"/>
  <c r="AG22" i="9"/>
  <c r="AP22" i="9"/>
  <c r="AR22" i="9" s="1"/>
  <c r="AC22" i="9"/>
  <c r="U22" i="9"/>
  <c r="AT22" i="9"/>
  <c r="AS22" i="9"/>
  <c r="R22" i="9"/>
  <c r="O22" i="9"/>
  <c r="G22" i="9"/>
  <c r="D22" i="9"/>
  <c r="AU22" i="9" l="1"/>
  <c r="AR21" i="9" l="1"/>
  <c r="AO21" i="9"/>
  <c r="BB21" i="9"/>
  <c r="BC21" i="9"/>
  <c r="BA21" i="9"/>
  <c r="AZ21" i="9"/>
  <c r="AY21" i="9"/>
  <c r="AX21" i="9"/>
  <c r="AW21" i="9"/>
  <c r="AV21" i="9"/>
  <c r="AF21" i="9"/>
  <c r="AG21" i="9"/>
  <c r="AP21" i="9"/>
  <c r="AU21" i="9"/>
  <c r="AC21" i="9"/>
  <c r="U21" i="9"/>
  <c r="AT21" i="9"/>
  <c r="AS21" i="9"/>
  <c r="R21" i="9"/>
  <c r="O21" i="9"/>
  <c r="G21" i="9"/>
  <c r="D21" i="9"/>
  <c r="AR20" i="9" l="1"/>
  <c r="AO20" i="9"/>
  <c r="BB20" i="9"/>
  <c r="BC20" i="9"/>
  <c r="BA20" i="9"/>
  <c r="AZ20" i="9"/>
  <c r="AY20" i="9"/>
  <c r="AX20" i="9"/>
  <c r="AW20" i="9"/>
  <c r="AV20" i="9"/>
  <c r="AF20" i="9"/>
  <c r="AG20" i="9"/>
  <c r="AP20" i="9"/>
  <c r="AU20" i="9"/>
  <c r="AC20" i="9"/>
  <c r="U20" i="9"/>
  <c r="AT20" i="9"/>
  <c r="AS20" i="9"/>
  <c r="R20" i="9"/>
  <c r="O20" i="9"/>
  <c r="G20" i="9"/>
  <c r="D20" i="9"/>
  <c r="AR19" i="9" l="1"/>
  <c r="AR18" i="9"/>
  <c r="AO19" i="9"/>
  <c r="BB19" i="9"/>
  <c r="BC19" i="9"/>
  <c r="BA19" i="9"/>
  <c r="AZ19" i="9"/>
  <c r="AY19" i="9"/>
  <c r="AX19" i="9"/>
  <c r="AW19" i="9"/>
  <c r="AV19" i="9"/>
  <c r="AF19" i="9"/>
  <c r="AG19" i="9"/>
  <c r="AP19" i="9"/>
  <c r="AU19" i="9"/>
  <c r="AC19" i="9"/>
  <c r="U19" i="9"/>
  <c r="AT19" i="9"/>
  <c r="AS19" i="9"/>
  <c r="R19" i="9"/>
  <c r="O19" i="9"/>
  <c r="G19" i="9"/>
  <c r="D19" i="9"/>
  <c r="AO18" i="9" l="1"/>
  <c r="BB18" i="9"/>
  <c r="BC18" i="9"/>
  <c r="BA18" i="9"/>
  <c r="AZ18" i="9"/>
  <c r="AY18" i="9"/>
  <c r="AX18" i="9"/>
  <c r="AW18" i="9"/>
  <c r="AV18" i="9"/>
  <c r="AF18" i="9"/>
  <c r="AG18" i="9"/>
  <c r="AP18" i="9"/>
  <c r="AU18" i="9"/>
  <c r="AC18" i="9"/>
  <c r="U18" i="9"/>
  <c r="AT18" i="9"/>
  <c r="AS18" i="9"/>
  <c r="R18" i="9"/>
  <c r="O18" i="9"/>
  <c r="G18" i="9"/>
  <c r="D18" i="9"/>
  <c r="BC17" i="9"/>
  <c r="BB17" i="9"/>
  <c r="BA17" i="9"/>
  <c r="AZ17" i="9"/>
  <c r="AY17" i="9"/>
  <c r="AX17" i="9"/>
  <c r="AW17" i="9"/>
  <c r="AV17" i="9"/>
  <c r="AT17" i="9"/>
  <c r="AS17" i="9"/>
  <c r="AP17" i="9"/>
  <c r="AU17" i="9" s="1"/>
  <c r="AO17" i="9"/>
  <c r="AG17" i="9"/>
  <c r="AC17" i="9"/>
  <c r="U17" i="9"/>
  <c r="O17" i="9"/>
  <c r="G17" i="9"/>
  <c r="BB16" i="9"/>
  <c r="BA16" i="9"/>
  <c r="AZ16" i="9"/>
  <c r="BC16" i="9" s="1"/>
  <c r="AY16" i="9"/>
  <c r="AX16" i="9"/>
  <c r="AW16" i="9"/>
  <c r="AV16" i="9"/>
  <c r="AU16" i="9"/>
  <c r="AT16" i="9"/>
  <c r="AS16" i="9"/>
  <c r="AP16" i="9"/>
  <c r="AO16" i="9"/>
  <c r="AG16" i="9"/>
  <c r="AC16" i="9"/>
  <c r="U16" i="9"/>
  <c r="O16" i="9"/>
  <c r="G16" i="9"/>
  <c r="AR15" i="9" l="1"/>
  <c r="AO15" i="9"/>
  <c r="BB15" i="9"/>
  <c r="BC15" i="9"/>
  <c r="BA15" i="9"/>
  <c r="AZ15" i="9"/>
  <c r="AY15" i="9"/>
  <c r="AX15" i="9"/>
  <c r="AW15" i="9"/>
  <c r="AV15" i="9"/>
  <c r="AF15" i="9"/>
  <c r="AG15" i="9"/>
  <c r="AP15" i="9"/>
  <c r="AU15" i="9"/>
  <c r="AC15" i="9"/>
  <c r="U15" i="9"/>
  <c r="AT15" i="9"/>
  <c r="AS15" i="9"/>
  <c r="R15" i="9"/>
  <c r="O15" i="9"/>
  <c r="G15" i="9"/>
  <c r="D15" i="9"/>
  <c r="AR14" i="9" l="1"/>
  <c r="AO14" i="9"/>
  <c r="BB14" i="9"/>
  <c r="BC14" i="9"/>
  <c r="BA14" i="9"/>
  <c r="AZ14" i="9"/>
  <c r="AY14" i="9"/>
  <c r="AX14" i="9"/>
  <c r="AW14" i="9"/>
  <c r="AV14" i="9"/>
  <c r="AF14" i="9"/>
  <c r="AG14" i="9"/>
  <c r="AP14" i="9"/>
  <c r="AU14" i="9" s="1"/>
  <c r="AC14" i="9"/>
  <c r="U14" i="9"/>
  <c r="AT14" i="9"/>
  <c r="AS14" i="9"/>
  <c r="R14" i="9"/>
  <c r="O14" i="9"/>
  <c r="G14" i="9"/>
  <c r="D14" i="9"/>
  <c r="AR13" i="9" l="1"/>
  <c r="AO13" i="9"/>
  <c r="BB13" i="9"/>
  <c r="BC13" i="9"/>
  <c r="BA13" i="9"/>
  <c r="AZ13" i="9"/>
  <c r="AY13" i="9"/>
  <c r="AX13" i="9"/>
  <c r="AW13" i="9"/>
  <c r="AV13" i="9"/>
  <c r="AF13" i="9"/>
  <c r="AG13" i="9"/>
  <c r="AP13" i="9"/>
  <c r="AU13" i="9"/>
  <c r="AC13" i="9"/>
  <c r="U13" i="9"/>
  <c r="AT13" i="9"/>
  <c r="AS13" i="9"/>
  <c r="R13" i="9"/>
  <c r="O13" i="9"/>
  <c r="G13" i="9"/>
  <c r="D13" i="9"/>
  <c r="BC12" i="9"/>
  <c r="BB12" i="9"/>
  <c r="BA12" i="9"/>
  <c r="AZ12" i="9"/>
  <c r="AY12" i="9"/>
  <c r="AX12" i="9"/>
  <c r="AW12" i="9"/>
  <c r="AV12" i="9"/>
  <c r="AT12" i="9"/>
  <c r="AS12" i="9"/>
  <c r="AP12" i="9"/>
  <c r="AU12" i="9" s="1"/>
  <c r="AO12" i="9"/>
  <c r="AG12" i="9"/>
  <c r="AC12" i="9"/>
  <c r="U12" i="9"/>
  <c r="O12" i="9"/>
  <c r="G12" i="9"/>
  <c r="BB10" i="9" l="1"/>
  <c r="BA10" i="9"/>
  <c r="AZ10" i="9"/>
  <c r="AY10" i="9"/>
  <c r="AX10" i="9"/>
  <c r="AW10" i="9"/>
  <c r="AV10" i="9"/>
  <c r="AT10" i="9"/>
  <c r="AS10" i="9"/>
  <c r="AP10" i="9"/>
  <c r="AU10" i="9" s="1"/>
  <c r="AO10" i="9"/>
  <c r="AG10" i="9"/>
  <c r="AC10" i="9"/>
  <c r="U10" i="9"/>
  <c r="O10" i="9"/>
  <c r="G10" i="9"/>
  <c r="BB9" i="9"/>
  <c r="BA9" i="9"/>
  <c r="AZ9" i="9"/>
  <c r="BC9" i="9" s="1"/>
  <c r="AY9" i="9"/>
  <c r="AX9" i="9"/>
  <c r="AW9" i="9"/>
  <c r="AV9" i="9"/>
  <c r="AU9" i="9"/>
  <c r="AT9" i="9"/>
  <c r="AS9" i="9"/>
  <c r="AP9" i="9"/>
  <c r="AO9" i="9"/>
  <c r="AG9" i="9"/>
  <c r="AC9" i="9"/>
  <c r="U9" i="9"/>
  <c r="O9" i="9"/>
  <c r="G9" i="9"/>
  <c r="BB8" i="9"/>
  <c r="BA8" i="9"/>
  <c r="AZ8" i="9"/>
  <c r="BC8" i="9" s="1"/>
  <c r="AY8" i="9"/>
  <c r="AX8" i="9"/>
  <c r="AW8" i="9"/>
  <c r="AV8" i="9"/>
  <c r="AT8" i="9"/>
  <c r="AS8" i="9"/>
  <c r="AP8" i="9"/>
  <c r="AU8" i="9" s="1"/>
  <c r="AO8" i="9"/>
  <c r="AG8" i="9"/>
  <c r="AC8" i="9"/>
  <c r="U8" i="9"/>
  <c r="O8" i="9"/>
  <c r="G8" i="9"/>
  <c r="BB11" i="9"/>
  <c r="BA11" i="9"/>
  <c r="AZ11" i="9"/>
  <c r="AY11" i="9"/>
  <c r="AX11" i="9"/>
  <c r="AW11" i="9"/>
  <c r="AV11" i="9"/>
  <c r="AT11" i="9"/>
  <c r="AS11" i="9"/>
  <c r="AP11" i="9"/>
  <c r="AR11" i="9" s="1"/>
  <c r="AO11" i="9"/>
  <c r="AG11" i="9"/>
  <c r="AF11" i="9"/>
  <c r="AC11" i="9"/>
  <c r="U11" i="9"/>
  <c r="R11" i="9"/>
  <c r="O11" i="9"/>
  <c r="G11" i="9"/>
  <c r="D11" i="9"/>
  <c r="BC11" i="9" l="1"/>
  <c r="AU11" i="9"/>
  <c r="BC10" i="9"/>
  <c r="AO37" i="7"/>
  <c r="BB37" i="7"/>
  <c r="BA37" i="7"/>
  <c r="AZ37" i="7"/>
  <c r="AY37" i="7"/>
  <c r="AX37" i="7"/>
  <c r="AW37" i="7"/>
  <c r="AV37" i="7"/>
  <c r="AF37" i="7"/>
  <c r="AG37" i="7"/>
  <c r="AP37" i="7"/>
  <c r="AR37" i="7" s="1"/>
  <c r="AC37" i="7"/>
  <c r="U37" i="7"/>
  <c r="AT37" i="7"/>
  <c r="AS37" i="7"/>
  <c r="R37" i="7"/>
  <c r="O37" i="7"/>
  <c r="G37" i="7"/>
  <c r="D37" i="7"/>
  <c r="BD39" i="9"/>
  <c r="AQ39" i="9"/>
  <c r="AR39" i="9" s="1"/>
  <c r="AN39" i="9"/>
  <c r="AM39" i="9"/>
  <c r="AL39" i="9"/>
  <c r="AK39" i="9"/>
  <c r="AJ39" i="9"/>
  <c r="AI39" i="9"/>
  <c r="AH39" i="9"/>
  <c r="AE39" i="9"/>
  <c r="AD39" i="9"/>
  <c r="AB39" i="9"/>
  <c r="AA39" i="9"/>
  <c r="Z39" i="9"/>
  <c r="Y39" i="9"/>
  <c r="X39" i="9"/>
  <c r="W39" i="9"/>
  <c r="V39" i="9"/>
  <c r="T39" i="9"/>
  <c r="S39" i="9"/>
  <c r="Q39" i="9"/>
  <c r="P39" i="9"/>
  <c r="N39" i="9"/>
  <c r="M39" i="9"/>
  <c r="L39" i="9"/>
  <c r="K39" i="9"/>
  <c r="J39" i="9"/>
  <c r="I39" i="9"/>
  <c r="H39" i="9"/>
  <c r="F39" i="9"/>
  <c r="E39" i="9"/>
  <c r="C39" i="9"/>
  <c r="B39" i="9"/>
  <c r="BB39" i="9"/>
  <c r="BA39" i="9"/>
  <c r="AY39" i="9"/>
  <c r="AX39" i="9"/>
  <c r="AW39" i="9"/>
  <c r="AV39" i="9"/>
  <c r="AT39" i="9"/>
  <c r="AS39" i="9"/>
  <c r="AP39" i="9"/>
  <c r="AO39" i="9"/>
  <c r="AG39" i="9"/>
  <c r="AF39" i="9" l="1"/>
  <c r="AU37" i="7"/>
  <c r="G39" i="9"/>
  <c r="BC37" i="7"/>
  <c r="U39" i="9"/>
  <c r="AC39" i="9"/>
  <c r="R39" i="9"/>
  <c r="O39" i="9"/>
  <c r="D39" i="9"/>
  <c r="AZ39" i="9"/>
  <c r="BC39" i="9" s="1"/>
  <c r="AO36" i="7"/>
  <c r="BB36" i="7"/>
  <c r="BA36" i="7"/>
  <c r="AZ36" i="7"/>
  <c r="AY36" i="7"/>
  <c r="AX36" i="7"/>
  <c r="AW36" i="7"/>
  <c r="AV36" i="7"/>
  <c r="AF36" i="7"/>
  <c r="AG36" i="7"/>
  <c r="AP36" i="7"/>
  <c r="AR36" i="7" s="1"/>
  <c r="AC36" i="7"/>
  <c r="U36" i="7"/>
  <c r="AT36" i="7"/>
  <c r="AS36" i="7"/>
  <c r="R36" i="7"/>
  <c r="O36" i="7"/>
  <c r="G36" i="7"/>
  <c r="D36" i="7"/>
  <c r="AU36" i="7" l="1"/>
  <c r="BC36" i="7"/>
  <c r="AU39" i="9"/>
  <c r="AO35" i="7"/>
  <c r="BB35" i="7"/>
  <c r="BA35" i="7"/>
  <c r="AZ35" i="7"/>
  <c r="AY35" i="7"/>
  <c r="AX35" i="7"/>
  <c r="AW35" i="7"/>
  <c r="AV35" i="7"/>
  <c r="AF35" i="7"/>
  <c r="AG35" i="7"/>
  <c r="AP35" i="7"/>
  <c r="AR35" i="7" s="1"/>
  <c r="AC35" i="7"/>
  <c r="U35" i="7"/>
  <c r="AT35" i="7"/>
  <c r="AS35" i="7"/>
  <c r="R35" i="7"/>
  <c r="O35" i="7"/>
  <c r="G35" i="7"/>
  <c r="D35" i="7"/>
  <c r="AU35" i="7" l="1"/>
  <c r="BC35" i="7"/>
  <c r="BB34" i="7"/>
  <c r="BA34" i="7"/>
  <c r="AZ34" i="7"/>
  <c r="AY34" i="7"/>
  <c r="AX34" i="7"/>
  <c r="AW34" i="7"/>
  <c r="AV34" i="7"/>
  <c r="AT34" i="7"/>
  <c r="AS34" i="7"/>
  <c r="AO34" i="7"/>
  <c r="AF34" i="7"/>
  <c r="AG34" i="7"/>
  <c r="AP34" i="7"/>
  <c r="AR34" i="7" s="1"/>
  <c r="AC34" i="7"/>
  <c r="U34" i="7"/>
  <c r="R34" i="7"/>
  <c r="O34" i="7"/>
  <c r="G34" i="7"/>
  <c r="D34" i="7"/>
  <c r="BB33" i="7"/>
  <c r="BA33" i="7"/>
  <c r="AZ33" i="7"/>
  <c r="AY33" i="7"/>
  <c r="AX33" i="7"/>
  <c r="AW33" i="7"/>
  <c r="AV33" i="7"/>
  <c r="AT33" i="7"/>
  <c r="AS33" i="7"/>
  <c r="AP33" i="7"/>
  <c r="AO33" i="7"/>
  <c r="AG33" i="7"/>
  <c r="AC33" i="7"/>
  <c r="U33" i="7"/>
  <c r="O33" i="7"/>
  <c r="G33" i="7"/>
  <c r="BB32" i="7"/>
  <c r="BA32" i="7"/>
  <c r="AZ32" i="7"/>
  <c r="AY32" i="7"/>
  <c r="AX32" i="7"/>
  <c r="AW32" i="7"/>
  <c r="AV32" i="7"/>
  <c r="AT32" i="7"/>
  <c r="AS32" i="7"/>
  <c r="AP32" i="7"/>
  <c r="AO32" i="7"/>
  <c r="AG32" i="7"/>
  <c r="AC32" i="7"/>
  <c r="U32" i="7"/>
  <c r="O32" i="7"/>
  <c r="G32" i="7"/>
  <c r="BC33" i="7" l="1"/>
  <c r="AU33" i="7"/>
  <c r="BC32" i="7"/>
  <c r="AU32" i="7"/>
  <c r="AU34" i="7"/>
  <c r="BC34" i="7"/>
  <c r="AO31" i="7"/>
  <c r="BB31" i="7"/>
  <c r="BA31" i="7"/>
  <c r="AZ31" i="7"/>
  <c r="AY31" i="7"/>
  <c r="AX31" i="7"/>
  <c r="AW31" i="7"/>
  <c r="AV31" i="7"/>
  <c r="AF31" i="7"/>
  <c r="AG31" i="7"/>
  <c r="AP31" i="7"/>
  <c r="AR31" i="7" s="1"/>
  <c r="AC31" i="7"/>
  <c r="U31" i="7"/>
  <c r="AT31" i="7"/>
  <c r="AS31" i="7"/>
  <c r="R31" i="7"/>
  <c r="O31" i="7"/>
  <c r="G31" i="7"/>
  <c r="D31" i="7"/>
  <c r="BC31" i="7" l="1"/>
  <c r="AU31" i="7"/>
  <c r="AO30" i="7"/>
  <c r="BB30" i="7"/>
  <c r="BA30" i="7"/>
  <c r="AZ30" i="7"/>
  <c r="AY30" i="7"/>
  <c r="AX30" i="7"/>
  <c r="AW30" i="7"/>
  <c r="AV30" i="7"/>
  <c r="AF30" i="7"/>
  <c r="AG30" i="7"/>
  <c r="AP30" i="7"/>
  <c r="AR30" i="7" s="1"/>
  <c r="AC30" i="7"/>
  <c r="U30" i="7"/>
  <c r="AT30" i="7"/>
  <c r="AS30" i="7"/>
  <c r="R30" i="7"/>
  <c r="O30" i="7"/>
  <c r="G30" i="7"/>
  <c r="D30" i="7"/>
  <c r="BC30" i="7" l="1"/>
  <c r="AU30" i="7"/>
  <c r="AO29" i="7"/>
  <c r="BB29" i="7"/>
  <c r="BA29" i="7"/>
  <c r="AZ29" i="7"/>
  <c r="AY29" i="7"/>
  <c r="AX29" i="7"/>
  <c r="AW29" i="7"/>
  <c r="AV29" i="7"/>
  <c r="AF29" i="7"/>
  <c r="AG29" i="7"/>
  <c r="AP29" i="7"/>
  <c r="AC29" i="7"/>
  <c r="U29" i="7"/>
  <c r="AT29" i="7"/>
  <c r="AS29" i="7"/>
  <c r="R29" i="7"/>
  <c r="O29" i="7"/>
  <c r="G29" i="7"/>
  <c r="D29" i="7"/>
  <c r="AU29" i="7" l="1"/>
  <c r="BC29" i="7"/>
  <c r="AR29" i="7"/>
  <c r="AO28" i="7"/>
  <c r="BB28" i="7"/>
  <c r="BA28" i="7"/>
  <c r="AZ28" i="7"/>
  <c r="AY28" i="7"/>
  <c r="AX28" i="7"/>
  <c r="AW28" i="7"/>
  <c r="AV28" i="7"/>
  <c r="AF28" i="7"/>
  <c r="AG28" i="7"/>
  <c r="AP28" i="7"/>
  <c r="AR28" i="7" s="1"/>
  <c r="AC28" i="7"/>
  <c r="U28" i="7"/>
  <c r="AT28" i="7"/>
  <c r="AS28" i="7"/>
  <c r="R28" i="7"/>
  <c r="O28" i="7"/>
  <c r="G28" i="7"/>
  <c r="D28" i="7"/>
  <c r="BC28" i="7" l="1"/>
  <c r="AU28" i="7"/>
  <c r="AO27" i="7"/>
  <c r="BB27" i="7"/>
  <c r="BA27" i="7"/>
  <c r="AZ27" i="7"/>
  <c r="AY27" i="7"/>
  <c r="AX27" i="7"/>
  <c r="AW27" i="7"/>
  <c r="AV27" i="7"/>
  <c r="AF27" i="7"/>
  <c r="AG27" i="7"/>
  <c r="AP27" i="7"/>
  <c r="AR27" i="7" s="1"/>
  <c r="AC27" i="7"/>
  <c r="U27" i="7"/>
  <c r="AT27" i="7"/>
  <c r="AS27" i="7"/>
  <c r="R27" i="7"/>
  <c r="O27" i="7"/>
  <c r="G27" i="7"/>
  <c r="D27" i="7"/>
  <c r="BB26" i="7"/>
  <c r="BA26" i="7"/>
  <c r="AZ26" i="7"/>
  <c r="AY26" i="7"/>
  <c r="AX26" i="7"/>
  <c r="AW26" i="7"/>
  <c r="AV26" i="7"/>
  <c r="AT26" i="7"/>
  <c r="AS26" i="7"/>
  <c r="AP26" i="7"/>
  <c r="AO26" i="7"/>
  <c r="AG26" i="7"/>
  <c r="AC26" i="7"/>
  <c r="U26" i="7"/>
  <c r="O26" i="7"/>
  <c r="G26" i="7"/>
  <c r="BB25" i="7"/>
  <c r="BA25" i="7"/>
  <c r="AZ25" i="7"/>
  <c r="AY25" i="7"/>
  <c r="AX25" i="7"/>
  <c r="AW25" i="7"/>
  <c r="AV25" i="7"/>
  <c r="AT25" i="7"/>
  <c r="AS25" i="7"/>
  <c r="AP25" i="7"/>
  <c r="AO25" i="7"/>
  <c r="AG25" i="7"/>
  <c r="AC25" i="7"/>
  <c r="U25" i="7"/>
  <c r="O25" i="7"/>
  <c r="G25" i="7"/>
  <c r="BC25" i="7" l="1"/>
  <c r="BC26" i="7"/>
  <c r="AU25" i="7"/>
  <c r="AU26" i="7"/>
  <c r="BC27" i="7"/>
  <c r="AU27" i="7"/>
  <c r="AO24" i="7"/>
  <c r="BB24" i="7"/>
  <c r="BA24" i="7"/>
  <c r="AZ24" i="7"/>
  <c r="BC24" i="7" s="1"/>
  <c r="AY24" i="7"/>
  <c r="AX24" i="7"/>
  <c r="AW24" i="7"/>
  <c r="AV24" i="7"/>
  <c r="AF24" i="7"/>
  <c r="AG24" i="7"/>
  <c r="AP24" i="7"/>
  <c r="AR24" i="7" s="1"/>
  <c r="AC24" i="7"/>
  <c r="U24" i="7"/>
  <c r="AT24" i="7"/>
  <c r="AS24" i="7"/>
  <c r="R24" i="7"/>
  <c r="O24" i="7"/>
  <c r="G24" i="7"/>
  <c r="D24" i="7"/>
  <c r="AU24" i="7" l="1"/>
  <c r="AO23" i="7"/>
  <c r="BB23" i="7"/>
  <c r="BA23" i="7"/>
  <c r="AZ23" i="7"/>
  <c r="BC23" i="7" s="1"/>
  <c r="AY23" i="7"/>
  <c r="AX23" i="7"/>
  <c r="AW23" i="7"/>
  <c r="AV23" i="7"/>
  <c r="AF23" i="7"/>
  <c r="AG23" i="7"/>
  <c r="AP23" i="7"/>
  <c r="AR23" i="7" s="1"/>
  <c r="AC23" i="7"/>
  <c r="U23" i="7"/>
  <c r="AT23" i="7"/>
  <c r="AS23" i="7"/>
  <c r="R23" i="7"/>
  <c r="O23" i="7"/>
  <c r="G23" i="7"/>
  <c r="D23" i="7"/>
  <c r="AU23" i="7" l="1"/>
  <c r="AO22" i="7"/>
  <c r="BB22" i="7"/>
  <c r="BA22" i="7"/>
  <c r="AZ22" i="7"/>
  <c r="AY22" i="7"/>
  <c r="AX22" i="7"/>
  <c r="AW22" i="7"/>
  <c r="AV22" i="7"/>
  <c r="AF22" i="7"/>
  <c r="AG22" i="7"/>
  <c r="AP22" i="7"/>
  <c r="AR22" i="7" s="1"/>
  <c r="AC22" i="7"/>
  <c r="U22" i="7"/>
  <c r="AT22" i="7"/>
  <c r="AS22" i="7"/>
  <c r="R22" i="7"/>
  <c r="O22" i="7"/>
  <c r="G22" i="7"/>
  <c r="D22" i="7"/>
  <c r="BC22" i="7" l="1"/>
  <c r="AU22" i="7"/>
  <c r="AO21" i="7"/>
  <c r="BB21" i="7"/>
  <c r="BA21" i="7"/>
  <c r="AZ21" i="7"/>
  <c r="AY21" i="7"/>
  <c r="AX21" i="7"/>
  <c r="AW21" i="7"/>
  <c r="AV21" i="7"/>
  <c r="AF21" i="7"/>
  <c r="AG21" i="7"/>
  <c r="AP21" i="7"/>
  <c r="AR21" i="7" s="1"/>
  <c r="AC21" i="7"/>
  <c r="U21" i="7"/>
  <c r="AT21" i="7"/>
  <c r="AS21" i="7"/>
  <c r="R21" i="7"/>
  <c r="O21" i="7"/>
  <c r="G21" i="7"/>
  <c r="D21" i="7"/>
  <c r="BC21" i="7" l="1"/>
  <c r="AU21" i="7"/>
  <c r="AO20" i="7"/>
  <c r="BB20" i="7"/>
  <c r="BA20" i="7"/>
  <c r="AZ20" i="7"/>
  <c r="AY20" i="7"/>
  <c r="AX20" i="7"/>
  <c r="AW20" i="7"/>
  <c r="AV20" i="7"/>
  <c r="AF20" i="7"/>
  <c r="AG20" i="7"/>
  <c r="AP20" i="7"/>
  <c r="AC20" i="7"/>
  <c r="U20" i="7"/>
  <c r="AT20" i="7"/>
  <c r="AS20" i="7"/>
  <c r="R20" i="7"/>
  <c r="O20" i="7"/>
  <c r="G20" i="7"/>
  <c r="D20" i="7"/>
  <c r="BC20" i="7" l="1"/>
  <c r="AU20" i="7"/>
  <c r="AR20" i="7"/>
  <c r="BB19" i="7"/>
  <c r="BA19" i="7"/>
  <c r="AZ19" i="7"/>
  <c r="AY19" i="7"/>
  <c r="AX19" i="7"/>
  <c r="AW19" i="7"/>
  <c r="AV19" i="7"/>
  <c r="AT19" i="7"/>
  <c r="AS19" i="7"/>
  <c r="AP19" i="7"/>
  <c r="AO19" i="7"/>
  <c r="AG19" i="7"/>
  <c r="AC19" i="7"/>
  <c r="U19" i="7"/>
  <c r="O19" i="7"/>
  <c r="G19" i="7"/>
  <c r="BB18" i="7"/>
  <c r="BA18" i="7"/>
  <c r="AZ18" i="7"/>
  <c r="AY18" i="7"/>
  <c r="AX18" i="7"/>
  <c r="AW18" i="7"/>
  <c r="AV18" i="7"/>
  <c r="AT18" i="7"/>
  <c r="AS18" i="7"/>
  <c r="AP18" i="7"/>
  <c r="AO18" i="7"/>
  <c r="AG18" i="7"/>
  <c r="AC18" i="7"/>
  <c r="U18" i="7"/>
  <c r="O18" i="7"/>
  <c r="G18" i="7"/>
  <c r="BC18" i="7" l="1"/>
  <c r="BC19" i="7"/>
  <c r="AU18" i="7"/>
  <c r="AU19" i="7"/>
  <c r="AO17" i="7"/>
  <c r="BB17" i="7"/>
  <c r="BA17" i="7"/>
  <c r="AZ17" i="7"/>
  <c r="AY17" i="7"/>
  <c r="AX17" i="7"/>
  <c r="AW17" i="7"/>
  <c r="AV17" i="7"/>
  <c r="AF17" i="7"/>
  <c r="AG17" i="7"/>
  <c r="AP17" i="7"/>
  <c r="AR17" i="7" s="1"/>
  <c r="AC17" i="7"/>
  <c r="U17" i="7"/>
  <c r="AT17" i="7"/>
  <c r="AS17" i="7"/>
  <c r="R17" i="7"/>
  <c r="O17" i="7"/>
  <c r="G17" i="7"/>
  <c r="D17" i="7"/>
  <c r="BC17" i="7" l="1"/>
  <c r="AU17" i="7"/>
  <c r="AO16" i="7"/>
  <c r="BB16" i="7"/>
  <c r="BA16" i="7"/>
  <c r="AZ16" i="7"/>
  <c r="AY16" i="7"/>
  <c r="AX16" i="7"/>
  <c r="AW16" i="7"/>
  <c r="AV16" i="7"/>
  <c r="AF16" i="7"/>
  <c r="AG16" i="7"/>
  <c r="AP16" i="7"/>
  <c r="AR16" i="7" s="1"/>
  <c r="AC16" i="7"/>
  <c r="U16" i="7"/>
  <c r="AT16" i="7"/>
  <c r="AS16" i="7"/>
  <c r="R16" i="7"/>
  <c r="O16" i="7"/>
  <c r="G16" i="7"/>
  <c r="D16" i="7"/>
  <c r="BC16" i="7" l="1"/>
  <c r="AU16" i="7"/>
  <c r="AO15" i="7"/>
  <c r="BB15" i="7"/>
  <c r="BA15" i="7"/>
  <c r="AZ15" i="7"/>
  <c r="AY15" i="7"/>
  <c r="AX15" i="7"/>
  <c r="AW15" i="7"/>
  <c r="AV15" i="7"/>
  <c r="AF15" i="7"/>
  <c r="AG15" i="7"/>
  <c r="AP15" i="7"/>
  <c r="AC15" i="7"/>
  <c r="U15" i="7"/>
  <c r="AT15" i="7"/>
  <c r="AS15" i="7"/>
  <c r="R15" i="7"/>
  <c r="O15" i="7"/>
  <c r="G15" i="7"/>
  <c r="D15" i="7"/>
  <c r="BC15" i="7" l="1"/>
  <c r="AU15" i="7"/>
  <c r="AR15" i="7"/>
  <c r="AO14" i="7"/>
  <c r="BB14" i="7"/>
  <c r="BA14" i="7"/>
  <c r="AZ14" i="7"/>
  <c r="AY14" i="7"/>
  <c r="AX14" i="7"/>
  <c r="AW14" i="7"/>
  <c r="AV14" i="7"/>
  <c r="AF14" i="7"/>
  <c r="AG14" i="7"/>
  <c r="AP14" i="7"/>
  <c r="AC14" i="7"/>
  <c r="U14" i="7"/>
  <c r="AT14" i="7"/>
  <c r="AS14" i="7"/>
  <c r="R14" i="7"/>
  <c r="O14" i="7"/>
  <c r="G14" i="7"/>
  <c r="D14" i="7"/>
  <c r="BC14" i="7" l="1"/>
  <c r="AU14" i="7"/>
  <c r="AR14" i="7"/>
  <c r="AO13" i="7"/>
  <c r="BB13" i="7"/>
  <c r="BA13" i="7"/>
  <c r="AZ13" i="7"/>
  <c r="AY13" i="7"/>
  <c r="AX13" i="7"/>
  <c r="AW13" i="7"/>
  <c r="AV13" i="7"/>
  <c r="AF13" i="7"/>
  <c r="AG13" i="7"/>
  <c r="AP13" i="7"/>
  <c r="AR13" i="7" s="1"/>
  <c r="AC13" i="7"/>
  <c r="U13" i="7"/>
  <c r="AT13" i="7"/>
  <c r="AS13" i="7"/>
  <c r="R13" i="7"/>
  <c r="O13" i="7"/>
  <c r="G13" i="7"/>
  <c r="D13" i="7"/>
  <c r="BB12" i="7"/>
  <c r="BA12" i="7"/>
  <c r="AZ12" i="7"/>
  <c r="AY12" i="7"/>
  <c r="AX12" i="7"/>
  <c r="AW12" i="7"/>
  <c r="AV12" i="7"/>
  <c r="AT12" i="7"/>
  <c r="AS12" i="7"/>
  <c r="AP12" i="7"/>
  <c r="AU12" i="7" s="1"/>
  <c r="AO12" i="7"/>
  <c r="AG12" i="7"/>
  <c r="AC12" i="7"/>
  <c r="U12" i="7"/>
  <c r="O12" i="7"/>
  <c r="G12" i="7"/>
  <c r="BB11" i="7"/>
  <c r="BA11" i="7"/>
  <c r="AZ11" i="7"/>
  <c r="AY11" i="7"/>
  <c r="AX11" i="7"/>
  <c r="AW11" i="7"/>
  <c r="AV11" i="7"/>
  <c r="AT11" i="7"/>
  <c r="AS11" i="7"/>
  <c r="AP11" i="7"/>
  <c r="AO11" i="7"/>
  <c r="AG11" i="7"/>
  <c r="AC11" i="7"/>
  <c r="U11" i="7"/>
  <c r="O11" i="7"/>
  <c r="G11" i="7"/>
  <c r="BC12" i="7" l="1"/>
  <c r="BC11" i="7"/>
  <c r="AU13" i="7"/>
  <c r="BC13" i="7"/>
  <c r="AU11" i="7"/>
  <c r="AJ38" i="8"/>
  <c r="BB10" i="7" l="1"/>
  <c r="BA10" i="7"/>
  <c r="AZ10" i="7"/>
  <c r="AY10" i="7"/>
  <c r="AX10" i="7"/>
  <c r="AW10" i="7"/>
  <c r="AV10" i="7"/>
  <c r="AT10" i="7"/>
  <c r="AS10" i="7"/>
  <c r="AP10" i="7"/>
  <c r="AR10" i="7" s="1"/>
  <c r="AO10" i="7"/>
  <c r="AG10" i="7"/>
  <c r="AF10" i="7"/>
  <c r="AC10" i="7"/>
  <c r="U10" i="7"/>
  <c r="R10" i="7"/>
  <c r="O10" i="7"/>
  <c r="G10" i="7"/>
  <c r="D10" i="7"/>
  <c r="BC10" i="7" l="1"/>
  <c r="AU10" i="7"/>
  <c r="AS9" i="7"/>
  <c r="AT9" i="7"/>
  <c r="AV9" i="7"/>
  <c r="AW9" i="7"/>
  <c r="AX9" i="7"/>
  <c r="AY9" i="7"/>
  <c r="AZ9" i="7"/>
  <c r="BA9" i="7"/>
  <c r="BB9" i="7"/>
  <c r="AP9" i="7"/>
  <c r="AR9" i="7" s="1"/>
  <c r="AO9" i="7"/>
  <c r="AG9" i="7"/>
  <c r="AF9" i="7"/>
  <c r="AC9" i="7"/>
  <c r="U9" i="7"/>
  <c r="R9" i="7"/>
  <c r="O9" i="7"/>
  <c r="G9" i="7"/>
  <c r="D9" i="7"/>
  <c r="BC9" i="7" l="1"/>
  <c r="AU9" i="7"/>
  <c r="BB8" i="7"/>
  <c r="BA8" i="7"/>
  <c r="BA38" i="7" s="1"/>
  <c r="AZ8" i="7"/>
  <c r="AY8" i="7"/>
  <c r="AX8" i="7"/>
  <c r="AW8" i="7"/>
  <c r="AV8" i="7"/>
  <c r="AT8" i="7"/>
  <c r="AS8" i="7"/>
  <c r="AP8" i="7"/>
  <c r="AO8" i="7"/>
  <c r="AO38" i="7" s="1"/>
  <c r="AG8" i="7"/>
  <c r="AF8" i="7"/>
  <c r="AC8" i="7"/>
  <c r="U8" i="7"/>
  <c r="R8" i="7"/>
  <c r="O8" i="7"/>
  <c r="G8" i="7"/>
  <c r="D8" i="7"/>
  <c r="BD39" i="8"/>
  <c r="AQ39" i="8"/>
  <c r="AN39" i="8"/>
  <c r="AM39" i="8"/>
  <c r="AL39" i="8"/>
  <c r="AK39" i="8"/>
  <c r="AJ39" i="8"/>
  <c r="AI39" i="8"/>
  <c r="AH39" i="8"/>
  <c r="AE39" i="8"/>
  <c r="AD39" i="8"/>
  <c r="AB39" i="8"/>
  <c r="AA39" i="8"/>
  <c r="Z39" i="8"/>
  <c r="Y39" i="8"/>
  <c r="X39" i="8"/>
  <c r="W39" i="8"/>
  <c r="V39" i="8"/>
  <c r="T39" i="8"/>
  <c r="S39" i="8"/>
  <c r="Q39" i="8"/>
  <c r="P39" i="8"/>
  <c r="N39" i="8"/>
  <c r="M39" i="8"/>
  <c r="L39" i="8"/>
  <c r="K39" i="8"/>
  <c r="J39" i="8"/>
  <c r="I39" i="8"/>
  <c r="H39" i="8"/>
  <c r="F39" i="8"/>
  <c r="E39" i="8"/>
  <c r="C39" i="8"/>
  <c r="B39" i="8"/>
  <c r="BB38" i="8"/>
  <c r="BA38" i="8"/>
  <c r="AZ38" i="8"/>
  <c r="AY38" i="8"/>
  <c r="AX38" i="8"/>
  <c r="AW38" i="8"/>
  <c r="AV38" i="8"/>
  <c r="AT38" i="8"/>
  <c r="AS38" i="8"/>
  <c r="AP38" i="8"/>
  <c r="AR38" i="8" s="1"/>
  <c r="AO38" i="8"/>
  <c r="AG38" i="8"/>
  <c r="AF38" i="8"/>
  <c r="AC38" i="8"/>
  <c r="U38" i="8"/>
  <c r="R38" i="8"/>
  <c r="O38" i="8"/>
  <c r="G38" i="8"/>
  <c r="D38" i="8"/>
  <c r="BB37" i="8"/>
  <c r="BA37" i="8"/>
  <c r="AZ37" i="8"/>
  <c r="AY37" i="8"/>
  <c r="AX37" i="8"/>
  <c r="AW37" i="8"/>
  <c r="AV37" i="8"/>
  <c r="AT37" i="8"/>
  <c r="AS37" i="8"/>
  <c r="AP37" i="8"/>
  <c r="AR37" i="8" s="1"/>
  <c r="AO37" i="8"/>
  <c r="AG37" i="8"/>
  <c r="AF37" i="8"/>
  <c r="AC37" i="8"/>
  <c r="U37" i="8"/>
  <c r="R37" i="8"/>
  <c r="O37" i="8"/>
  <c r="G37" i="8"/>
  <c r="D37" i="8"/>
  <c r="BB36" i="8"/>
  <c r="BA36" i="8"/>
  <c r="AZ36" i="8"/>
  <c r="AY36" i="8"/>
  <c r="AX36" i="8"/>
  <c r="AW36" i="8"/>
  <c r="AV36" i="8"/>
  <c r="AT36" i="8"/>
  <c r="AS36" i="8"/>
  <c r="AP36" i="8"/>
  <c r="AO36" i="8"/>
  <c r="AG36" i="8"/>
  <c r="AC36" i="8"/>
  <c r="U36" i="8"/>
  <c r="O36" i="8"/>
  <c r="G36" i="8"/>
  <c r="BB35" i="8"/>
  <c r="BA35" i="8"/>
  <c r="AZ35" i="8"/>
  <c r="AY35" i="8"/>
  <c r="AX35" i="8"/>
  <c r="AW35" i="8"/>
  <c r="AV35" i="8"/>
  <c r="AT35" i="8"/>
  <c r="AS35" i="8"/>
  <c r="AP35" i="8"/>
  <c r="AO35" i="8"/>
  <c r="AG35" i="8"/>
  <c r="AC35" i="8"/>
  <c r="U35" i="8"/>
  <c r="O35" i="8"/>
  <c r="G35" i="8"/>
  <c r="BB34" i="8"/>
  <c r="BA34" i="8"/>
  <c r="AZ34" i="8"/>
  <c r="AY34" i="8"/>
  <c r="AX34" i="8"/>
  <c r="AW34" i="8"/>
  <c r="AV34" i="8"/>
  <c r="AT34" i="8"/>
  <c r="AS34" i="8"/>
  <c r="AP34" i="8"/>
  <c r="AO34" i="8"/>
  <c r="AG34" i="8"/>
  <c r="AF34" i="8"/>
  <c r="AC34" i="8"/>
  <c r="U34" i="8"/>
  <c r="R34" i="8"/>
  <c r="O34" i="8"/>
  <c r="G34" i="8"/>
  <c r="D34" i="8"/>
  <c r="BB33" i="8"/>
  <c r="BA33" i="8"/>
  <c r="AZ33" i="8"/>
  <c r="AY33" i="8"/>
  <c r="AX33" i="8"/>
  <c r="AW33" i="8"/>
  <c r="AV33" i="8"/>
  <c r="AT33" i="8"/>
  <c r="AS33" i="8"/>
  <c r="AP33" i="8"/>
  <c r="AO33" i="8"/>
  <c r="AG33" i="8"/>
  <c r="AF33" i="8"/>
  <c r="AC33" i="8"/>
  <c r="U33" i="8"/>
  <c r="R33" i="8"/>
  <c r="O33" i="8"/>
  <c r="G33" i="8"/>
  <c r="D33" i="8"/>
  <c r="BB32" i="8"/>
  <c r="BA32" i="8"/>
  <c r="AZ32" i="8"/>
  <c r="AY32" i="8"/>
  <c r="AX32" i="8"/>
  <c r="AW32" i="8"/>
  <c r="AV32" i="8"/>
  <c r="AT32" i="8"/>
  <c r="AS32" i="8"/>
  <c r="AP32" i="8"/>
  <c r="AR32" i="8" s="1"/>
  <c r="AO32" i="8"/>
  <c r="AG32" i="8"/>
  <c r="AF32" i="8"/>
  <c r="AC32" i="8"/>
  <c r="U32" i="8"/>
  <c r="R32" i="8"/>
  <c r="O32" i="8"/>
  <c r="G32" i="8"/>
  <c r="D32" i="8"/>
  <c r="BB31" i="8"/>
  <c r="BA31" i="8"/>
  <c r="AZ31" i="8"/>
  <c r="AY31" i="8"/>
  <c r="AX31" i="8"/>
  <c r="AW31" i="8"/>
  <c r="AV31" i="8"/>
  <c r="AT31" i="8"/>
  <c r="AS31" i="8"/>
  <c r="AP31" i="8"/>
  <c r="AO31" i="8"/>
  <c r="AG31" i="8"/>
  <c r="AF31" i="8"/>
  <c r="AC31" i="8"/>
  <c r="U31" i="8"/>
  <c r="R31" i="8"/>
  <c r="O31" i="8"/>
  <c r="G31" i="8"/>
  <c r="D31" i="8"/>
  <c r="BB30" i="8"/>
  <c r="BA30" i="8"/>
  <c r="AZ30" i="8"/>
  <c r="AY30" i="8"/>
  <c r="AX30" i="8"/>
  <c r="AW30" i="8"/>
  <c r="AV30" i="8"/>
  <c r="AT30" i="8"/>
  <c r="AS30" i="8"/>
  <c r="AP30" i="8"/>
  <c r="AR30" i="8" s="1"/>
  <c r="AO30" i="8"/>
  <c r="AG30" i="8"/>
  <c r="AF30" i="8"/>
  <c r="AC30" i="8"/>
  <c r="U30" i="8"/>
  <c r="R30" i="8"/>
  <c r="O30" i="8"/>
  <c r="G30" i="8"/>
  <c r="D30" i="8"/>
  <c r="BB29" i="8"/>
  <c r="BA29" i="8"/>
  <c r="AZ29" i="8"/>
  <c r="AY29" i="8"/>
  <c r="AX29" i="8"/>
  <c r="AW29" i="8"/>
  <c r="AV29" i="8"/>
  <c r="AT29" i="8"/>
  <c r="AS29" i="8"/>
  <c r="AP29" i="8"/>
  <c r="AO29" i="8"/>
  <c r="AG29" i="8"/>
  <c r="AC29" i="8"/>
  <c r="U29" i="8"/>
  <c r="O29" i="8"/>
  <c r="G29" i="8"/>
  <c r="BB28" i="8"/>
  <c r="BA28" i="8"/>
  <c r="AZ28" i="8"/>
  <c r="AY28" i="8"/>
  <c r="AX28" i="8"/>
  <c r="AW28" i="8"/>
  <c r="AV28" i="8"/>
  <c r="AT28" i="8"/>
  <c r="AS28" i="8"/>
  <c r="AP28" i="8"/>
  <c r="AO28" i="8"/>
  <c r="AG28" i="8"/>
  <c r="AC28" i="8"/>
  <c r="U28" i="8"/>
  <c r="O28" i="8"/>
  <c r="G28" i="8"/>
  <c r="BB27" i="8"/>
  <c r="BA27" i="8"/>
  <c r="AZ27" i="8"/>
  <c r="AY27" i="8"/>
  <c r="AX27" i="8"/>
  <c r="AW27" i="8"/>
  <c r="AV27" i="8"/>
  <c r="AT27" i="8"/>
  <c r="AS27" i="8"/>
  <c r="AP27" i="8"/>
  <c r="AR27" i="8" s="1"/>
  <c r="AO27" i="8"/>
  <c r="AG27" i="8"/>
  <c r="AF27" i="8"/>
  <c r="AC27" i="8"/>
  <c r="U27" i="8"/>
  <c r="R27" i="8"/>
  <c r="O27" i="8"/>
  <c r="G27" i="8"/>
  <c r="D27" i="8"/>
  <c r="BB26" i="8"/>
  <c r="BA26" i="8"/>
  <c r="AZ26" i="8"/>
  <c r="AY26" i="8"/>
  <c r="AX26" i="8"/>
  <c r="AW26" i="8"/>
  <c r="AV26" i="8"/>
  <c r="AT26" i="8"/>
  <c r="AS26" i="8"/>
  <c r="AP26" i="8"/>
  <c r="AO26" i="8"/>
  <c r="AG26" i="8"/>
  <c r="AF26" i="8"/>
  <c r="AC26" i="8"/>
  <c r="U26" i="8"/>
  <c r="R26" i="8"/>
  <c r="O26" i="8"/>
  <c r="G26" i="8"/>
  <c r="D26" i="8"/>
  <c r="BB25" i="8"/>
  <c r="BA25" i="8"/>
  <c r="AZ25" i="8"/>
  <c r="AY25" i="8"/>
  <c r="AX25" i="8"/>
  <c r="AW25" i="8"/>
  <c r="AV25" i="8"/>
  <c r="AT25" i="8"/>
  <c r="AS25" i="8"/>
  <c r="AP25" i="8"/>
  <c r="AR25" i="8" s="1"/>
  <c r="AO25" i="8"/>
  <c r="AG25" i="8"/>
  <c r="AF25" i="8"/>
  <c r="AC25" i="8"/>
  <c r="U25" i="8"/>
  <c r="R25" i="8"/>
  <c r="O25" i="8"/>
  <c r="G25" i="8"/>
  <c r="D25" i="8"/>
  <c r="BB24" i="8"/>
  <c r="BA24" i="8"/>
  <c r="AZ24" i="8"/>
  <c r="AY24" i="8"/>
  <c r="AX24" i="8"/>
  <c r="AW24" i="8"/>
  <c r="AV24" i="8"/>
  <c r="AT24" i="8"/>
  <c r="AS24" i="8"/>
  <c r="AP24" i="8"/>
  <c r="AR24" i="8" s="1"/>
  <c r="AO24" i="8"/>
  <c r="AG24" i="8"/>
  <c r="AF24" i="8"/>
  <c r="AC24" i="8"/>
  <c r="U24" i="8"/>
  <c r="R24" i="8"/>
  <c r="O24" i="8"/>
  <c r="G24" i="8"/>
  <c r="D24" i="8"/>
  <c r="BB23" i="8"/>
  <c r="BA23" i="8"/>
  <c r="AZ23" i="8"/>
  <c r="AY23" i="8"/>
  <c r="AX23" i="8"/>
  <c r="AW23" i="8"/>
  <c r="AV23" i="8"/>
  <c r="AT23" i="8"/>
  <c r="AS23" i="8"/>
  <c r="AP23" i="8"/>
  <c r="AO23" i="8"/>
  <c r="AG23" i="8"/>
  <c r="AF23" i="8"/>
  <c r="AC23" i="8"/>
  <c r="U23" i="8"/>
  <c r="R23" i="8"/>
  <c r="O23" i="8"/>
  <c r="G23" i="8"/>
  <c r="D23" i="8"/>
  <c r="BB22" i="8"/>
  <c r="BA22" i="8"/>
  <c r="AZ22" i="8"/>
  <c r="AY22" i="8"/>
  <c r="AX22" i="8"/>
  <c r="AW22" i="8"/>
  <c r="AV22" i="8"/>
  <c r="AT22" i="8"/>
  <c r="AS22" i="8"/>
  <c r="AP22" i="8"/>
  <c r="AO22" i="8"/>
  <c r="AG22" i="8"/>
  <c r="AC22" i="8"/>
  <c r="U22" i="8"/>
  <c r="O22" i="8"/>
  <c r="G22" i="8"/>
  <c r="BB21" i="8"/>
  <c r="BA21" i="8"/>
  <c r="AZ21" i="8"/>
  <c r="AY21" i="8"/>
  <c r="AX21" i="8"/>
  <c r="AW21" i="8"/>
  <c r="AV21" i="8"/>
  <c r="AT21" i="8"/>
  <c r="AS21" i="8"/>
  <c r="AP21" i="8"/>
  <c r="AO21" i="8"/>
  <c r="AG21" i="8"/>
  <c r="AC21" i="8"/>
  <c r="U21" i="8"/>
  <c r="O21" i="8"/>
  <c r="G21" i="8"/>
  <c r="BB20" i="8"/>
  <c r="BA20" i="8"/>
  <c r="AZ20" i="8"/>
  <c r="AY20" i="8"/>
  <c r="AX20" i="8"/>
  <c r="AW20" i="8"/>
  <c r="AV20" i="8"/>
  <c r="AT20" i="8"/>
  <c r="AS20" i="8"/>
  <c r="AP20" i="8"/>
  <c r="AR20" i="8" s="1"/>
  <c r="AO20" i="8"/>
  <c r="AG20" i="8"/>
  <c r="AF20" i="8"/>
  <c r="AC20" i="8"/>
  <c r="U20" i="8"/>
  <c r="R20" i="8"/>
  <c r="O20" i="8"/>
  <c r="G20" i="8"/>
  <c r="D20" i="8"/>
  <c r="BB19" i="8"/>
  <c r="BA19" i="8"/>
  <c r="AZ19" i="8"/>
  <c r="AY19" i="8"/>
  <c r="AX19" i="8"/>
  <c r="AW19" i="8"/>
  <c r="AV19" i="8"/>
  <c r="AT19" i="8"/>
  <c r="AS19" i="8"/>
  <c r="AP19" i="8"/>
  <c r="AR19" i="8" s="1"/>
  <c r="AO19" i="8"/>
  <c r="AG19" i="8"/>
  <c r="AF19" i="8"/>
  <c r="AC19" i="8"/>
  <c r="U19" i="8"/>
  <c r="R19" i="8"/>
  <c r="O19" i="8"/>
  <c r="G19" i="8"/>
  <c r="D19" i="8"/>
  <c r="BB18" i="8"/>
  <c r="BA18" i="8"/>
  <c r="AZ18" i="8"/>
  <c r="AY18" i="8"/>
  <c r="AX18" i="8"/>
  <c r="AW18" i="8"/>
  <c r="AV18" i="8"/>
  <c r="AT18" i="8"/>
  <c r="AS18" i="8"/>
  <c r="AP18" i="8"/>
  <c r="AR18" i="8" s="1"/>
  <c r="AO18" i="8"/>
  <c r="AG18" i="8"/>
  <c r="AF18" i="8"/>
  <c r="AC18" i="8"/>
  <c r="U18" i="8"/>
  <c r="R18" i="8"/>
  <c r="O18" i="8"/>
  <c r="G18" i="8"/>
  <c r="D18" i="8"/>
  <c r="BB17" i="8"/>
  <c r="BA17" i="8"/>
  <c r="AZ17" i="8"/>
  <c r="AY17" i="8"/>
  <c r="AX17" i="8"/>
  <c r="AW17" i="8"/>
  <c r="AV17" i="8"/>
  <c r="AT17" i="8"/>
  <c r="AS17" i="8"/>
  <c r="AP17" i="8"/>
  <c r="AO17" i="8"/>
  <c r="AG17" i="8"/>
  <c r="AF17" i="8"/>
  <c r="AC17" i="8"/>
  <c r="U17" i="8"/>
  <c r="R17" i="8"/>
  <c r="O17" i="8"/>
  <c r="G17" i="8"/>
  <c r="D17" i="8"/>
  <c r="BB16" i="8"/>
  <c r="BA16" i="8"/>
  <c r="AZ16" i="8"/>
  <c r="AY16" i="8"/>
  <c r="AX16" i="8"/>
  <c r="AW16" i="8"/>
  <c r="AV16" i="8"/>
  <c r="AT16" i="8"/>
  <c r="AS16" i="8"/>
  <c r="AP16" i="8"/>
  <c r="AO16" i="8"/>
  <c r="AG16" i="8"/>
  <c r="AF16" i="8"/>
  <c r="AC16" i="8"/>
  <c r="U16" i="8"/>
  <c r="R16" i="8"/>
  <c r="O16" i="8"/>
  <c r="G16" i="8"/>
  <c r="D16" i="8"/>
  <c r="BB15" i="8"/>
  <c r="BA15" i="8"/>
  <c r="AZ15" i="8"/>
  <c r="AY15" i="8"/>
  <c r="AX15" i="8"/>
  <c r="AW15" i="8"/>
  <c r="AV15" i="8"/>
  <c r="AT15" i="8"/>
  <c r="AS15" i="8"/>
  <c r="AP15" i="8"/>
  <c r="AO15" i="8"/>
  <c r="AG15" i="8"/>
  <c r="AC15" i="8"/>
  <c r="U15" i="8"/>
  <c r="O15" i="8"/>
  <c r="G15" i="8"/>
  <c r="BB14" i="8"/>
  <c r="BA14" i="8"/>
  <c r="AZ14" i="8"/>
  <c r="AY14" i="8"/>
  <c r="AX14" i="8"/>
  <c r="AW14" i="8"/>
  <c r="AV14" i="8"/>
  <c r="AT14" i="8"/>
  <c r="AS14" i="8"/>
  <c r="AP14" i="8"/>
  <c r="AO14" i="8"/>
  <c r="AG14" i="8"/>
  <c r="AC14" i="8"/>
  <c r="U14" i="8"/>
  <c r="O14" i="8"/>
  <c r="G14" i="8"/>
  <c r="BB13" i="8"/>
  <c r="BA13" i="8"/>
  <c r="AZ13" i="8"/>
  <c r="AY13" i="8"/>
  <c r="AX13" i="8"/>
  <c r="AW13" i="8"/>
  <c r="AV13" i="8"/>
  <c r="AT13" i="8"/>
  <c r="AS13" i="8"/>
  <c r="AP13" i="8"/>
  <c r="AO13" i="8"/>
  <c r="AG13" i="8"/>
  <c r="AF13" i="8"/>
  <c r="AC13" i="8"/>
  <c r="U13" i="8"/>
  <c r="R13" i="8"/>
  <c r="O13" i="8"/>
  <c r="G13" i="8"/>
  <c r="D13" i="8"/>
  <c r="BB12" i="8"/>
  <c r="BA12" i="8"/>
  <c r="AZ12" i="8"/>
  <c r="AY12" i="8"/>
  <c r="AX12" i="8"/>
  <c r="AW12" i="8"/>
  <c r="AV12" i="8"/>
  <c r="AT12" i="8"/>
  <c r="AS12" i="8"/>
  <c r="AP12" i="8"/>
  <c r="AR12" i="8" s="1"/>
  <c r="AO12" i="8"/>
  <c r="AG12" i="8"/>
  <c r="AF12" i="8"/>
  <c r="AC12" i="8"/>
  <c r="U12" i="8"/>
  <c r="R12" i="8"/>
  <c r="O12" i="8"/>
  <c r="G12" i="8"/>
  <c r="D12" i="8"/>
  <c r="BB11" i="8"/>
  <c r="BA11" i="8"/>
  <c r="AZ11" i="8"/>
  <c r="BC11" i="8" s="1"/>
  <c r="AY11" i="8"/>
  <c r="AX11" i="8"/>
  <c r="AW11" i="8"/>
  <c r="AV11" i="8"/>
  <c r="AT11" i="8"/>
  <c r="AS11" i="8"/>
  <c r="AP11" i="8"/>
  <c r="AO11" i="8"/>
  <c r="AG11" i="8"/>
  <c r="AF11" i="8"/>
  <c r="AC11" i="8"/>
  <c r="U11" i="8"/>
  <c r="R11" i="8"/>
  <c r="O11" i="8"/>
  <c r="G11" i="8"/>
  <c r="D11" i="8"/>
  <c r="BB10" i="8"/>
  <c r="BA10" i="8"/>
  <c r="AZ10" i="8"/>
  <c r="AY10" i="8"/>
  <c r="AX10" i="8"/>
  <c r="AW10" i="8"/>
  <c r="AV10" i="8"/>
  <c r="AT10" i="8"/>
  <c r="AS10" i="8"/>
  <c r="AP10" i="8"/>
  <c r="AR10" i="8" s="1"/>
  <c r="AO10" i="8"/>
  <c r="AG10" i="8"/>
  <c r="AF10" i="8"/>
  <c r="AC10" i="8"/>
  <c r="U10" i="8"/>
  <c r="R10" i="8"/>
  <c r="O10" i="8"/>
  <c r="G10" i="8"/>
  <c r="D10" i="8"/>
  <c r="BB9" i="8"/>
  <c r="BA9" i="8"/>
  <c r="AZ9" i="8"/>
  <c r="AY9" i="8"/>
  <c r="AX9" i="8"/>
  <c r="AW9" i="8"/>
  <c r="AV9" i="8"/>
  <c r="AT9" i="8"/>
  <c r="AS9" i="8"/>
  <c r="AP9" i="8"/>
  <c r="AO9" i="8"/>
  <c r="AG9" i="8"/>
  <c r="AC9" i="8"/>
  <c r="U9" i="8"/>
  <c r="O9" i="8"/>
  <c r="G9" i="8"/>
  <c r="BB8" i="8"/>
  <c r="BA8" i="8"/>
  <c r="AZ8" i="8"/>
  <c r="AY8" i="8"/>
  <c r="AX8" i="8"/>
  <c r="AW8" i="8"/>
  <c r="AV8" i="8"/>
  <c r="AT8" i="8"/>
  <c r="AS8" i="8"/>
  <c r="AP8" i="8"/>
  <c r="AO8" i="8"/>
  <c r="AG8" i="8"/>
  <c r="AC8" i="8"/>
  <c r="U8" i="8"/>
  <c r="O8" i="8"/>
  <c r="G8" i="8"/>
  <c r="AR8" i="7" l="1"/>
  <c r="AP38" i="7"/>
  <c r="BC23" i="8"/>
  <c r="BC9" i="8"/>
  <c r="BC29" i="8"/>
  <c r="AU28" i="8"/>
  <c r="BC13" i="8"/>
  <c r="BC25" i="8"/>
  <c r="AU26" i="8"/>
  <c r="BC12" i="8"/>
  <c r="BC20" i="8"/>
  <c r="BC32" i="8"/>
  <c r="AU33" i="8"/>
  <c r="BC21" i="8"/>
  <c r="AU16" i="8"/>
  <c r="R39" i="8"/>
  <c r="BC16" i="8"/>
  <c r="BC22" i="8"/>
  <c r="O39" i="8"/>
  <c r="AU32" i="8"/>
  <c r="BC33" i="8"/>
  <c r="AU34" i="8"/>
  <c r="AU23" i="8"/>
  <c r="AU21" i="8"/>
  <c r="AU35" i="8"/>
  <c r="BC26" i="8"/>
  <c r="AV39" i="8"/>
  <c r="AU24" i="8"/>
  <c r="BC38" i="8"/>
  <c r="AU15" i="8"/>
  <c r="BC19" i="8"/>
  <c r="BC31" i="8"/>
  <c r="BC35" i="8"/>
  <c r="BC37" i="8"/>
  <c r="AU29" i="8"/>
  <c r="BC8" i="8"/>
  <c r="AU13" i="8"/>
  <c r="BC14" i="8"/>
  <c r="BC24" i="8"/>
  <c r="BC27" i="8"/>
  <c r="BC30" i="8"/>
  <c r="AU31" i="8"/>
  <c r="AU11" i="8"/>
  <c r="AU14" i="8"/>
  <c r="BC15" i="8"/>
  <c r="BC18" i="8"/>
  <c r="BC28" i="8"/>
  <c r="BC34" i="8"/>
  <c r="AU36" i="8"/>
  <c r="AU12" i="8"/>
  <c r="BC10" i="8"/>
  <c r="AR11" i="8"/>
  <c r="AR16" i="8"/>
  <c r="AR23" i="8"/>
  <c r="AR31" i="8"/>
  <c r="AC39" i="8"/>
  <c r="AY39" i="8"/>
  <c r="AO39" i="8"/>
  <c r="BC17" i="8"/>
  <c r="G39" i="8"/>
  <c r="AF39" i="8"/>
  <c r="AU8" i="8"/>
  <c r="BA39" i="8"/>
  <c r="D39" i="8"/>
  <c r="AG39" i="8"/>
  <c r="AP39" i="8"/>
  <c r="AR39" i="8" s="1"/>
  <c r="AT39" i="8"/>
  <c r="BB39" i="8"/>
  <c r="AR13" i="8"/>
  <c r="AU22" i="8"/>
  <c r="AU30" i="8"/>
  <c r="AU37" i="8"/>
  <c r="AU38" i="8"/>
  <c r="AW39" i="8"/>
  <c r="AU17" i="8"/>
  <c r="BC36" i="8"/>
  <c r="AU9" i="8"/>
  <c r="AU20" i="8"/>
  <c r="AU27" i="8"/>
  <c r="AU19" i="8"/>
  <c r="AX39" i="8"/>
  <c r="AU8" i="7"/>
  <c r="BC8" i="7"/>
  <c r="AZ39" i="8"/>
  <c r="AR26" i="8"/>
  <c r="AR34" i="8"/>
  <c r="AU10" i="8"/>
  <c r="AU18" i="8"/>
  <c r="U39" i="8"/>
  <c r="AS39" i="8"/>
  <c r="AR33" i="8"/>
  <c r="AR17" i="8"/>
  <c r="AU25" i="8"/>
  <c r="AU39" i="8" l="1"/>
  <c r="BC39" i="8"/>
  <c r="BD38" i="7"/>
  <c r="AQ38" i="7"/>
  <c r="AN38" i="7"/>
  <c r="AM38" i="7"/>
  <c r="AL38" i="7"/>
  <c r="AK38" i="7"/>
  <c r="AJ38" i="7"/>
  <c r="AI38" i="7"/>
  <c r="AH38" i="7"/>
  <c r="AE38" i="7"/>
  <c r="AD38" i="7"/>
  <c r="AB38" i="7"/>
  <c r="AA38" i="7"/>
  <c r="Z38" i="7"/>
  <c r="Y38" i="7"/>
  <c r="X38" i="7"/>
  <c r="W38" i="7"/>
  <c r="V38" i="7"/>
  <c r="T38" i="7"/>
  <c r="S38" i="7"/>
  <c r="Q38" i="7"/>
  <c r="P38" i="7"/>
  <c r="N38" i="7"/>
  <c r="M38" i="7"/>
  <c r="L38" i="7"/>
  <c r="K38" i="7"/>
  <c r="J38" i="7"/>
  <c r="I38" i="7"/>
  <c r="H38" i="7"/>
  <c r="F38" i="7"/>
  <c r="E38" i="7"/>
  <c r="C38" i="7"/>
  <c r="B38" i="7"/>
  <c r="AG38" i="7"/>
  <c r="AY38" i="7"/>
  <c r="AW38" i="7"/>
  <c r="AV38" i="7"/>
  <c r="AF38" i="7" l="1"/>
  <c r="R38" i="7"/>
  <c r="D38" i="7"/>
  <c r="BB38" i="7"/>
  <c r="AX38" i="7"/>
  <c r="AR38" i="7"/>
  <c r="O38" i="7"/>
  <c r="AZ38" i="7"/>
  <c r="U38" i="7"/>
  <c r="G38" i="7"/>
  <c r="AC38" i="7"/>
  <c r="AU38" i="7"/>
  <c r="AS38" i="7"/>
  <c r="AT38" i="7"/>
  <c r="AO34" i="5"/>
  <c r="BB34" i="5"/>
  <c r="BA34" i="5"/>
  <c r="AZ34" i="5"/>
  <c r="BC34" i="5" s="1"/>
  <c r="AY34" i="5"/>
  <c r="AX34" i="5"/>
  <c r="AW34" i="5"/>
  <c r="AV34" i="5"/>
  <c r="AF34" i="5"/>
  <c r="AG34" i="5"/>
  <c r="AP34" i="5"/>
  <c r="AC34" i="5"/>
  <c r="U34" i="5"/>
  <c r="AT34" i="5"/>
  <c r="AS34" i="5"/>
  <c r="R34" i="5"/>
  <c r="O34" i="5"/>
  <c r="G34" i="5"/>
  <c r="D34" i="5"/>
  <c r="BB35" i="5"/>
  <c r="BA35" i="5"/>
  <c r="AZ35" i="5"/>
  <c r="AY35" i="5"/>
  <c r="AX35" i="5"/>
  <c r="AW35" i="5"/>
  <c r="AV35" i="5"/>
  <c r="AT35" i="5"/>
  <c r="AS35" i="5"/>
  <c r="AP35" i="5"/>
  <c r="AU35" i="5" s="1"/>
  <c r="AO35" i="5"/>
  <c r="AG35" i="5"/>
  <c r="AC35" i="5"/>
  <c r="U35" i="5"/>
  <c r="O35" i="5"/>
  <c r="G35" i="5"/>
  <c r="AU34" i="5" l="1"/>
  <c r="BC35" i="5"/>
  <c r="BC38" i="7"/>
  <c r="AR34" i="5"/>
  <c r="AR33" i="5"/>
  <c r="AO33" i="5"/>
  <c r="BB33" i="5"/>
  <c r="BA33" i="5"/>
  <c r="AZ33" i="5"/>
  <c r="AY33" i="5"/>
  <c r="AX33" i="5"/>
  <c r="AW33" i="5"/>
  <c r="AV33" i="5"/>
  <c r="AF33" i="5"/>
  <c r="AG33" i="5"/>
  <c r="AP33" i="5"/>
  <c r="AC33" i="5"/>
  <c r="U33" i="5"/>
  <c r="AT33" i="5"/>
  <c r="AS33" i="5"/>
  <c r="AU33" i="5" s="1"/>
  <c r="R33" i="5"/>
  <c r="O33" i="5"/>
  <c r="G33" i="5"/>
  <c r="D33" i="5"/>
  <c r="BC33" i="5" l="1"/>
  <c r="AO32" i="5"/>
  <c r="BB32" i="5"/>
  <c r="BA32" i="5"/>
  <c r="AZ32" i="5"/>
  <c r="BC32" i="5" s="1"/>
  <c r="AY32" i="5"/>
  <c r="AX32" i="5"/>
  <c r="AW32" i="5"/>
  <c r="AV32" i="5"/>
  <c r="AF32" i="5"/>
  <c r="AG32" i="5"/>
  <c r="AP32" i="5"/>
  <c r="AR32" i="5" s="1"/>
  <c r="AC32" i="5"/>
  <c r="U32" i="5"/>
  <c r="AT32" i="5"/>
  <c r="AS32" i="5"/>
  <c r="AU32" i="5" s="1"/>
  <c r="R32" i="5"/>
  <c r="O32" i="5"/>
  <c r="G32" i="5"/>
  <c r="D32" i="5"/>
  <c r="AF17" i="5" l="1"/>
  <c r="AO31" i="5"/>
  <c r="BB31" i="5"/>
  <c r="BA31" i="5"/>
  <c r="AZ31" i="5"/>
  <c r="BC31" i="5" s="1"/>
  <c r="AY31" i="5"/>
  <c r="AX31" i="5"/>
  <c r="AW31" i="5"/>
  <c r="AV31" i="5"/>
  <c r="AF31" i="5"/>
  <c r="AG31" i="5"/>
  <c r="AP31" i="5"/>
  <c r="AC31" i="5"/>
  <c r="U31" i="5"/>
  <c r="AT31" i="5"/>
  <c r="AS31" i="5"/>
  <c r="R31" i="5"/>
  <c r="O31" i="5"/>
  <c r="G31" i="5"/>
  <c r="D31" i="5"/>
  <c r="AU31" i="5" l="1"/>
  <c r="AR31" i="5"/>
  <c r="AO30" i="5"/>
  <c r="BB30" i="5"/>
  <c r="BA30" i="5"/>
  <c r="AZ30" i="5"/>
  <c r="BC30" i="5" s="1"/>
  <c r="AY30" i="5"/>
  <c r="AX30" i="5"/>
  <c r="AW30" i="5"/>
  <c r="AV30" i="5"/>
  <c r="AF30" i="5"/>
  <c r="AG30" i="5"/>
  <c r="AP30" i="5"/>
  <c r="AR30" i="5" s="1"/>
  <c r="AC30" i="5"/>
  <c r="U30" i="5"/>
  <c r="AT30" i="5"/>
  <c r="AS30" i="5"/>
  <c r="AU30" i="5" s="1"/>
  <c r="R30" i="5"/>
  <c r="O30" i="5"/>
  <c r="G30" i="5"/>
  <c r="D30" i="5"/>
  <c r="AO27" i="5" l="1"/>
  <c r="BB27" i="5"/>
  <c r="BA27" i="5"/>
  <c r="AZ27" i="5"/>
  <c r="BC27" i="5" s="1"/>
  <c r="AY27" i="5"/>
  <c r="AX27" i="5"/>
  <c r="AW27" i="5"/>
  <c r="AV27" i="5"/>
  <c r="AF27" i="5"/>
  <c r="AG27" i="5"/>
  <c r="AP27" i="5"/>
  <c r="AR27" i="5" s="1"/>
  <c r="AC27" i="5"/>
  <c r="U27" i="5"/>
  <c r="AT27" i="5"/>
  <c r="AS27" i="5"/>
  <c r="AU27" i="5" s="1"/>
  <c r="R27" i="5"/>
  <c r="O27" i="5"/>
  <c r="G27" i="5"/>
  <c r="D27" i="5"/>
  <c r="BB29" i="5"/>
  <c r="BA29" i="5"/>
  <c r="AZ29" i="5"/>
  <c r="AY29" i="5"/>
  <c r="AX29" i="5"/>
  <c r="AW29" i="5"/>
  <c r="AV29" i="5"/>
  <c r="AT29" i="5"/>
  <c r="AS29" i="5"/>
  <c r="AP29" i="5"/>
  <c r="AU29" i="5" s="1"/>
  <c r="AO29" i="5"/>
  <c r="AG29" i="5"/>
  <c r="AC29" i="5"/>
  <c r="U29" i="5"/>
  <c r="O29" i="5"/>
  <c r="G29" i="5"/>
  <c r="BB28" i="5"/>
  <c r="BA28" i="5"/>
  <c r="AZ28" i="5"/>
  <c r="BC28" i="5" s="1"/>
  <c r="AY28" i="5"/>
  <c r="AX28" i="5"/>
  <c r="AW28" i="5"/>
  <c r="AV28" i="5"/>
  <c r="AT28" i="5"/>
  <c r="AS28" i="5"/>
  <c r="AP28" i="5"/>
  <c r="AO28" i="5"/>
  <c r="AG28" i="5"/>
  <c r="AC28" i="5"/>
  <c r="U28" i="5"/>
  <c r="O28" i="5"/>
  <c r="G28" i="5"/>
  <c r="AU28" i="5" l="1"/>
  <c r="BC29" i="5"/>
  <c r="AO26" i="5"/>
  <c r="BB26" i="5"/>
  <c r="BA26" i="5"/>
  <c r="AZ26" i="5"/>
  <c r="BC26" i="5" s="1"/>
  <c r="AY26" i="5"/>
  <c r="AX26" i="5"/>
  <c r="AW26" i="5"/>
  <c r="AV26" i="5"/>
  <c r="AF26" i="5"/>
  <c r="AG26" i="5"/>
  <c r="AP26" i="5"/>
  <c r="AC26" i="5"/>
  <c r="U26" i="5"/>
  <c r="AT26" i="5"/>
  <c r="AS26" i="5"/>
  <c r="R26" i="5"/>
  <c r="O26" i="5"/>
  <c r="G26" i="5"/>
  <c r="D26" i="5"/>
  <c r="AU26" i="5" l="1"/>
  <c r="AR26" i="5"/>
  <c r="AS20" i="5"/>
  <c r="AT20" i="5"/>
  <c r="AV20" i="5"/>
  <c r="AW20" i="5"/>
  <c r="AX20" i="5"/>
  <c r="AY20" i="5"/>
  <c r="AZ20" i="5"/>
  <c r="BC20" i="5" s="1"/>
  <c r="BA20" i="5"/>
  <c r="BB20" i="5"/>
  <c r="AO20" i="5"/>
  <c r="AF20" i="5"/>
  <c r="AG20" i="5"/>
  <c r="AC20" i="5"/>
  <c r="U20" i="5"/>
  <c r="R20" i="5"/>
  <c r="O20" i="5"/>
  <c r="G20" i="5"/>
  <c r="D20" i="5"/>
  <c r="BB25" i="5"/>
  <c r="BA25" i="5"/>
  <c r="AZ25" i="5"/>
  <c r="AY25" i="5"/>
  <c r="AX25" i="5"/>
  <c r="AW25" i="5"/>
  <c r="AV25" i="5"/>
  <c r="AT25" i="5"/>
  <c r="AS25" i="5"/>
  <c r="AP25" i="5"/>
  <c r="AU25" i="5" s="1"/>
  <c r="AO25" i="5"/>
  <c r="AG25" i="5"/>
  <c r="AC25" i="5"/>
  <c r="U25" i="5"/>
  <c r="O25" i="5"/>
  <c r="G25" i="5"/>
  <c r="BB24" i="5"/>
  <c r="BA24" i="5"/>
  <c r="AZ24" i="5"/>
  <c r="BC24" i="5" s="1"/>
  <c r="AY24" i="5"/>
  <c r="AX24" i="5"/>
  <c r="AW24" i="5"/>
  <c r="AV24" i="5"/>
  <c r="AT24" i="5"/>
  <c r="AS24" i="5"/>
  <c r="AU24" i="5" s="1"/>
  <c r="AP24" i="5"/>
  <c r="AO24" i="5"/>
  <c r="AG24" i="5"/>
  <c r="AC24" i="5"/>
  <c r="U24" i="5"/>
  <c r="O24" i="5"/>
  <c r="G24" i="5"/>
  <c r="BB23" i="5"/>
  <c r="BA23" i="5"/>
  <c r="AZ23" i="5"/>
  <c r="BC23" i="5" s="1"/>
  <c r="AY23" i="5"/>
  <c r="AX23" i="5"/>
  <c r="AW23" i="5"/>
  <c r="AV23" i="5"/>
  <c r="AT23" i="5"/>
  <c r="AS23" i="5"/>
  <c r="AP23" i="5"/>
  <c r="AO23" i="5"/>
  <c r="AG23" i="5"/>
  <c r="AC23" i="5"/>
  <c r="U23" i="5"/>
  <c r="O23" i="5"/>
  <c r="G23" i="5"/>
  <c r="BB22" i="5"/>
  <c r="BA22" i="5"/>
  <c r="AZ22" i="5"/>
  <c r="AY22" i="5"/>
  <c r="AX22" i="5"/>
  <c r="AW22" i="5"/>
  <c r="AV22" i="5"/>
  <c r="AT22" i="5"/>
  <c r="AS22" i="5"/>
  <c r="AP22" i="5"/>
  <c r="AU22" i="5" s="1"/>
  <c r="AO22" i="5"/>
  <c r="AG22" i="5"/>
  <c r="AC22" i="5"/>
  <c r="U22" i="5"/>
  <c r="O22" i="5"/>
  <c r="G22" i="5"/>
  <c r="BB21" i="5"/>
  <c r="BA21" i="5"/>
  <c r="AZ21" i="5"/>
  <c r="BC21" i="5" s="1"/>
  <c r="AY21" i="5"/>
  <c r="AX21" i="5"/>
  <c r="AW21" i="5"/>
  <c r="AV21" i="5"/>
  <c r="AT21" i="5"/>
  <c r="AS21" i="5"/>
  <c r="AP21" i="5"/>
  <c r="AO21" i="5"/>
  <c r="AG21" i="5"/>
  <c r="AC21" i="5"/>
  <c r="U21" i="5"/>
  <c r="O21" i="5"/>
  <c r="G21" i="5"/>
  <c r="AP19" i="5"/>
  <c r="AR19" i="5" s="1"/>
  <c r="AP20" i="5"/>
  <c r="AR20" i="5" s="1"/>
  <c r="AS19" i="5"/>
  <c r="AT19" i="5"/>
  <c r="AV19" i="5"/>
  <c r="AW19" i="5"/>
  <c r="AX19" i="5"/>
  <c r="AY19" i="5"/>
  <c r="AZ19" i="5"/>
  <c r="BA19" i="5"/>
  <c r="BB19" i="5"/>
  <c r="BC19" i="5"/>
  <c r="AO19" i="5"/>
  <c r="AF19" i="5"/>
  <c r="AG19" i="5"/>
  <c r="AC19" i="5"/>
  <c r="U19" i="5"/>
  <c r="T19" i="5"/>
  <c r="R19" i="5"/>
  <c r="O19" i="5"/>
  <c r="G19" i="5"/>
  <c r="D19" i="5"/>
  <c r="B19" i="5"/>
  <c r="AU20" i="5" l="1"/>
  <c r="AU23" i="5"/>
  <c r="AU19" i="5"/>
  <c r="AU21" i="5"/>
  <c r="BC25" i="5"/>
  <c r="BC22" i="5"/>
  <c r="BD20" i="6"/>
  <c r="BB20" i="6"/>
  <c r="BA20" i="6"/>
  <c r="AT20" i="6"/>
  <c r="AQ20" i="6"/>
  <c r="AO20" i="6"/>
  <c r="AM20" i="6"/>
  <c r="AG20" i="6"/>
  <c r="AE20" i="6"/>
  <c r="AF20" i="6" s="1"/>
  <c r="Y20" i="6"/>
  <c r="X20" i="6"/>
  <c r="W20" i="6"/>
  <c r="Q20" i="6"/>
  <c r="M20" i="6"/>
  <c r="F20" i="6"/>
  <c r="E20" i="6"/>
  <c r="AZ20" i="6"/>
  <c r="AY20" i="6"/>
  <c r="AX20" i="6"/>
  <c r="AW20" i="6"/>
  <c r="AV20" i="6"/>
  <c r="AU20" i="6"/>
  <c r="AS20" i="6"/>
  <c r="AN20" i="6"/>
  <c r="AL20" i="6"/>
  <c r="AK20" i="6"/>
  <c r="AJ20" i="6"/>
  <c r="AI20" i="6"/>
  <c r="AH20" i="6"/>
  <c r="AB20" i="6"/>
  <c r="AA20" i="6"/>
  <c r="Z20" i="6"/>
  <c r="V20" i="6"/>
  <c r="T20" i="6"/>
  <c r="S20" i="6"/>
  <c r="P20" i="6"/>
  <c r="N20" i="6"/>
  <c r="L20" i="6"/>
  <c r="K20" i="6"/>
  <c r="J20" i="6"/>
  <c r="I20" i="6"/>
  <c r="H20" i="6"/>
  <c r="C20" i="6"/>
  <c r="B20" i="6"/>
  <c r="BI19" i="6"/>
  <c r="BJ19" i="6" s="1"/>
  <c r="BI18" i="6"/>
  <c r="BJ18" i="6" s="1"/>
  <c r="BI17" i="6"/>
  <c r="BJ17" i="6" s="1"/>
  <c r="BM16" i="6"/>
  <c r="BI16" i="6"/>
  <c r="BJ16" i="6" s="1"/>
  <c r="BI15" i="6"/>
  <c r="BJ15" i="6" s="1"/>
  <c r="BI14" i="6"/>
  <c r="BJ14" i="6" s="1"/>
  <c r="BI13" i="6"/>
  <c r="BJ13" i="6" s="1"/>
  <c r="BI12" i="6"/>
  <c r="BJ12" i="6" s="1"/>
  <c r="BI11" i="6"/>
  <c r="BJ11" i="6" s="1"/>
  <c r="BI10" i="6"/>
  <c r="BJ10" i="6" s="1"/>
  <c r="BI9" i="6"/>
  <c r="BJ9" i="6" s="1"/>
  <c r="AP20" i="6" l="1"/>
  <c r="AD20" i="6"/>
  <c r="BI8" i="6"/>
  <c r="BJ8" i="6" s="1"/>
  <c r="D20" i="6"/>
  <c r="BI20" i="6"/>
  <c r="BJ20" i="6" s="1"/>
  <c r="G20" i="6"/>
  <c r="BC20" i="6"/>
  <c r="O20" i="6"/>
  <c r="AC20" i="6"/>
  <c r="AR20" i="6"/>
  <c r="R20" i="6"/>
  <c r="U20" i="6"/>
  <c r="AO18" i="5" l="1"/>
  <c r="BB18" i="5"/>
  <c r="BA18" i="5"/>
  <c r="AZ18" i="5"/>
  <c r="BC18" i="5" s="1"/>
  <c r="AY18" i="5"/>
  <c r="AX18" i="5"/>
  <c r="AW18" i="5"/>
  <c r="AV18" i="5"/>
  <c r="AF18" i="5"/>
  <c r="AG18" i="5"/>
  <c r="AP18" i="5"/>
  <c r="AR18" i="5" s="1"/>
  <c r="AC18" i="5"/>
  <c r="U18" i="5"/>
  <c r="AT18" i="5"/>
  <c r="AS18" i="5"/>
  <c r="AU18" i="5" s="1"/>
  <c r="R18" i="5"/>
  <c r="O18" i="5"/>
  <c r="G18" i="5"/>
  <c r="D18" i="5"/>
  <c r="AO17" i="5" l="1"/>
  <c r="BB17" i="5"/>
  <c r="BA17" i="5"/>
  <c r="AZ17" i="5"/>
  <c r="BC17" i="5" s="1"/>
  <c r="AY17" i="5"/>
  <c r="AX17" i="5"/>
  <c r="AW17" i="5"/>
  <c r="AV17" i="5"/>
  <c r="AG17" i="5"/>
  <c r="AP17" i="5"/>
  <c r="AU17" i="5" s="1"/>
  <c r="AC17" i="5"/>
  <c r="U17" i="5"/>
  <c r="AT17" i="5"/>
  <c r="AS17" i="5"/>
  <c r="R17" i="5"/>
  <c r="O17" i="5"/>
  <c r="G17" i="5"/>
  <c r="D17" i="5"/>
  <c r="AR17" i="5" l="1"/>
  <c r="AO16" i="5"/>
  <c r="BB16" i="5"/>
  <c r="BA16" i="5"/>
  <c r="AZ16" i="5"/>
  <c r="BC16" i="5" s="1"/>
  <c r="AY16" i="5"/>
  <c r="AX16" i="5"/>
  <c r="AW16" i="5"/>
  <c r="AV16" i="5"/>
  <c r="AF16" i="5"/>
  <c r="AG16" i="5"/>
  <c r="AP16" i="5"/>
  <c r="AR16" i="5" s="1"/>
  <c r="AC16" i="5"/>
  <c r="U16" i="5"/>
  <c r="AT16" i="5"/>
  <c r="AS16" i="5"/>
  <c r="AU16" i="5" s="1"/>
  <c r="R16" i="5"/>
  <c r="O16" i="5"/>
  <c r="G16" i="5"/>
  <c r="D16" i="5"/>
  <c r="BB15" i="5"/>
  <c r="BA15" i="5"/>
  <c r="AZ15" i="5"/>
  <c r="AY15" i="5"/>
  <c r="AX15" i="5"/>
  <c r="AW15" i="5"/>
  <c r="AV15" i="5"/>
  <c r="AT15" i="5"/>
  <c r="AS15" i="5"/>
  <c r="AP15" i="5"/>
  <c r="AU15" i="5" s="1"/>
  <c r="AO15" i="5"/>
  <c r="AG15" i="5"/>
  <c r="AC15" i="5"/>
  <c r="U15" i="5"/>
  <c r="O15" i="5"/>
  <c r="G15" i="5"/>
  <c r="BB14" i="5"/>
  <c r="BA14" i="5"/>
  <c r="AZ14" i="5"/>
  <c r="AY14" i="5"/>
  <c r="AX14" i="5"/>
  <c r="AW14" i="5"/>
  <c r="AV14" i="5"/>
  <c r="AT14" i="5"/>
  <c r="AS14" i="5"/>
  <c r="AP14" i="5"/>
  <c r="AO14" i="5"/>
  <c r="AG14" i="5"/>
  <c r="AC14" i="5"/>
  <c r="U14" i="5"/>
  <c r="O14" i="5"/>
  <c r="G14" i="5"/>
  <c r="BC14" i="5" l="1"/>
  <c r="BC15" i="5"/>
  <c r="AU14" i="5"/>
  <c r="AO13" i="5"/>
  <c r="BB13" i="5"/>
  <c r="BA13" i="5"/>
  <c r="AZ13" i="5"/>
  <c r="BC13" i="5" s="1"/>
  <c r="AY13" i="5"/>
  <c r="AX13" i="5"/>
  <c r="AW13" i="5"/>
  <c r="AV13" i="5"/>
  <c r="AF13" i="5"/>
  <c r="AG13" i="5"/>
  <c r="AP13" i="5"/>
  <c r="AR13" i="5"/>
  <c r="AC13" i="5"/>
  <c r="U13" i="5"/>
  <c r="AT13" i="5"/>
  <c r="AS13" i="5"/>
  <c r="AU13" i="5" s="1"/>
  <c r="R13" i="5"/>
  <c r="O13" i="5"/>
  <c r="G13" i="5"/>
  <c r="D13" i="5"/>
  <c r="AO12" i="5" l="1"/>
  <c r="BB12" i="5"/>
  <c r="BA12" i="5"/>
  <c r="AZ12" i="5"/>
  <c r="AY12" i="5"/>
  <c r="AX12" i="5"/>
  <c r="AW12" i="5"/>
  <c r="AV12" i="5"/>
  <c r="AF12" i="5"/>
  <c r="AG12" i="5"/>
  <c r="AP12" i="5"/>
  <c r="AR12" i="5" s="1"/>
  <c r="AU12" i="5"/>
  <c r="AC12" i="5"/>
  <c r="U12" i="5"/>
  <c r="AT12" i="5"/>
  <c r="AS12" i="5"/>
  <c r="R12" i="5"/>
  <c r="O12" i="5"/>
  <c r="G12" i="5"/>
  <c r="D12" i="5"/>
  <c r="BC12" i="5" l="1"/>
  <c r="BB11" i="5"/>
  <c r="BA11" i="5"/>
  <c r="AZ11" i="5"/>
  <c r="BC11" i="5" s="1"/>
  <c r="AY11" i="5"/>
  <c r="AX11" i="5"/>
  <c r="AW11" i="5"/>
  <c r="AV11" i="5"/>
  <c r="AT11" i="5"/>
  <c r="AS11" i="5"/>
  <c r="AR11" i="5"/>
  <c r="AP11" i="5"/>
  <c r="AO11" i="5"/>
  <c r="AG11" i="5"/>
  <c r="AF11" i="5"/>
  <c r="AC11" i="5"/>
  <c r="U11" i="5"/>
  <c r="R11" i="5"/>
  <c r="O11" i="5"/>
  <c r="G11" i="5"/>
  <c r="D11" i="5"/>
  <c r="AU11" i="5" l="1"/>
  <c r="BB10" i="5"/>
  <c r="BA10" i="5"/>
  <c r="AZ10" i="5"/>
  <c r="BC10" i="5" s="1"/>
  <c r="AY10" i="5"/>
  <c r="AX10" i="5"/>
  <c r="AW10" i="5"/>
  <c r="AV10" i="5"/>
  <c r="AT10" i="5"/>
  <c r="AS10" i="5"/>
  <c r="AP10" i="5"/>
  <c r="AR10" i="5" s="1"/>
  <c r="AO10" i="5"/>
  <c r="AG10" i="5"/>
  <c r="AF10" i="5"/>
  <c r="AC10" i="5"/>
  <c r="U10" i="5"/>
  <c r="R10" i="5"/>
  <c r="O10" i="5"/>
  <c r="G10" i="5"/>
  <c r="D10" i="5"/>
  <c r="AU10" i="5" l="1"/>
  <c r="E33" i="1"/>
  <c r="BD36" i="5"/>
  <c r="AQ36" i="5"/>
  <c r="AN36" i="5"/>
  <c r="AM36" i="5"/>
  <c r="AL36" i="5"/>
  <c r="AK36" i="5"/>
  <c r="AJ36" i="5"/>
  <c r="AI36" i="5"/>
  <c r="AH36" i="5"/>
  <c r="AE36" i="5"/>
  <c r="AD36" i="5"/>
  <c r="AB36" i="5"/>
  <c r="AA36" i="5"/>
  <c r="Z36" i="5"/>
  <c r="Y36" i="5"/>
  <c r="X36" i="5"/>
  <c r="W36" i="5"/>
  <c r="V36" i="5"/>
  <c r="T36" i="5"/>
  <c r="S36" i="5"/>
  <c r="Q36" i="5"/>
  <c r="P36" i="5"/>
  <c r="N36" i="5"/>
  <c r="M36" i="5"/>
  <c r="L36" i="5"/>
  <c r="K36" i="5"/>
  <c r="J36" i="5"/>
  <c r="I36" i="5"/>
  <c r="H36" i="5"/>
  <c r="F36" i="5"/>
  <c r="E36" i="5"/>
  <c r="C36" i="5"/>
  <c r="B36" i="5"/>
  <c r="BB9" i="5"/>
  <c r="BA9" i="5"/>
  <c r="AZ9" i="5"/>
  <c r="AY9" i="5"/>
  <c r="AX9" i="5"/>
  <c r="AW9" i="5"/>
  <c r="AV9" i="5"/>
  <c r="AT9" i="5"/>
  <c r="AS9" i="5"/>
  <c r="AP9" i="5"/>
  <c r="AR9" i="5" s="1"/>
  <c r="AO9" i="5"/>
  <c r="AG9" i="5"/>
  <c r="AF9" i="5"/>
  <c r="AC9" i="5"/>
  <c r="U9" i="5"/>
  <c r="R9" i="5"/>
  <c r="O9" i="5"/>
  <c r="G9" i="5"/>
  <c r="D9" i="5"/>
  <c r="BB8" i="5"/>
  <c r="BA8" i="5"/>
  <c r="AZ8" i="5"/>
  <c r="AY8" i="5"/>
  <c r="AX8" i="5"/>
  <c r="AW8" i="5"/>
  <c r="AV8" i="5"/>
  <c r="AT8" i="5"/>
  <c r="AS8" i="5"/>
  <c r="AP8" i="5"/>
  <c r="AO8" i="5"/>
  <c r="AG8" i="5"/>
  <c r="AC8" i="5"/>
  <c r="U8" i="5"/>
  <c r="O8" i="5"/>
  <c r="G8" i="5"/>
  <c r="O36" i="5" l="1"/>
  <c r="R36" i="5"/>
  <c r="AV36" i="5"/>
  <c r="AW36" i="5"/>
  <c r="AY36" i="5"/>
  <c r="G36" i="5"/>
  <c r="AX36" i="5"/>
  <c r="BC9" i="5"/>
  <c r="BA36" i="5"/>
  <c r="AO36" i="5"/>
  <c r="AG36" i="5"/>
  <c r="AP36" i="5"/>
  <c r="AR36" i="5" s="1"/>
  <c r="AS36" i="5"/>
  <c r="AC36" i="5"/>
  <c r="BB36" i="5"/>
  <c r="AU9" i="5"/>
  <c r="AT36" i="5"/>
  <c r="AF36" i="5"/>
  <c r="D36" i="5"/>
  <c r="U36" i="5"/>
  <c r="BC8" i="5"/>
  <c r="AZ36" i="5"/>
  <c r="AU8" i="5"/>
  <c r="BB38" i="1"/>
  <c r="BA38" i="1"/>
  <c r="AZ38" i="1"/>
  <c r="AY38" i="1"/>
  <c r="AX38" i="1"/>
  <c r="AW38" i="1"/>
  <c r="AV38" i="1"/>
  <c r="AT38" i="1"/>
  <c r="AS38" i="1"/>
  <c r="AP38" i="1"/>
  <c r="AO38" i="1"/>
  <c r="AG38" i="1"/>
  <c r="AC38" i="1"/>
  <c r="U38" i="1"/>
  <c r="O38" i="1"/>
  <c r="G38" i="1"/>
  <c r="AO37" i="1"/>
  <c r="BB37" i="1"/>
  <c r="BA37" i="1"/>
  <c r="AZ37" i="1"/>
  <c r="AY37" i="1"/>
  <c r="AX37" i="1"/>
  <c r="AW37" i="1"/>
  <c r="AV37" i="1"/>
  <c r="AF37" i="1"/>
  <c r="AG37" i="1"/>
  <c r="AP37" i="1"/>
  <c r="AR37" i="1" s="1"/>
  <c r="AU38" i="1" l="1"/>
  <c r="BC38" i="1"/>
  <c r="BC37" i="1"/>
  <c r="BC36" i="5"/>
  <c r="AU36" i="5"/>
  <c r="AC37" i="1"/>
  <c r="U37" i="1"/>
  <c r="AT37" i="1"/>
  <c r="AS37" i="1"/>
  <c r="R37" i="1"/>
  <c r="O37" i="1"/>
  <c r="G37" i="1"/>
  <c r="D37" i="1"/>
  <c r="AU37" i="1" l="1"/>
  <c r="AC36" i="1"/>
  <c r="U36" i="1"/>
  <c r="R36" i="1"/>
  <c r="O36" i="1"/>
  <c r="G36" i="1"/>
  <c r="D36" i="1"/>
  <c r="BB36" i="1"/>
  <c r="BA36" i="1"/>
  <c r="AZ36" i="1"/>
  <c r="AY36" i="1"/>
  <c r="AX36" i="1"/>
  <c r="AW36" i="1"/>
  <c r="AV36" i="1"/>
  <c r="AT36" i="1"/>
  <c r="AS36" i="1"/>
  <c r="AP36" i="1"/>
  <c r="AR36" i="1" s="1"/>
  <c r="AO36" i="1"/>
  <c r="AF36" i="1"/>
  <c r="AG36" i="1"/>
  <c r="BC36" i="1" l="1"/>
  <c r="AU36" i="1"/>
  <c r="AO35" i="1"/>
  <c r="BB35" i="1"/>
  <c r="BA35" i="1"/>
  <c r="AZ35" i="1"/>
  <c r="AY35" i="1"/>
  <c r="AX35" i="1"/>
  <c r="AW35" i="1"/>
  <c r="AV35" i="1"/>
  <c r="AF35" i="1"/>
  <c r="AG35" i="1"/>
  <c r="AP35" i="1"/>
  <c r="AR35" i="1" s="1"/>
  <c r="AC35" i="1"/>
  <c r="U35" i="1"/>
  <c r="AT35" i="1"/>
  <c r="AS35" i="1"/>
  <c r="R35" i="1"/>
  <c r="O35" i="1"/>
  <c r="G35" i="1"/>
  <c r="D35" i="1"/>
  <c r="BC35" i="1" l="1"/>
  <c r="AU35" i="1"/>
  <c r="AO34" i="1"/>
  <c r="BB34" i="1"/>
  <c r="BA34" i="1"/>
  <c r="AZ34" i="1"/>
  <c r="AY34" i="1"/>
  <c r="AX34" i="1"/>
  <c r="AW34" i="1"/>
  <c r="AV34" i="1"/>
  <c r="AF34" i="1"/>
  <c r="AG34" i="1"/>
  <c r="AP34" i="1"/>
  <c r="AR34" i="1" s="1"/>
  <c r="AC34" i="1"/>
  <c r="U34" i="1"/>
  <c r="AT34" i="1"/>
  <c r="AS34" i="1"/>
  <c r="R34" i="1"/>
  <c r="O34" i="1"/>
  <c r="G34" i="1"/>
  <c r="D34" i="1"/>
  <c r="BC34" i="1" l="1"/>
  <c r="AU34" i="1"/>
  <c r="AZ33" i="1"/>
  <c r="AO33" i="1"/>
  <c r="BB33" i="1"/>
  <c r="BA33" i="1"/>
  <c r="AY33" i="1"/>
  <c r="AX33" i="1"/>
  <c r="AW33" i="1"/>
  <c r="AV33" i="1"/>
  <c r="AF33" i="1"/>
  <c r="AG33" i="1"/>
  <c r="AP33" i="1"/>
  <c r="AC33" i="1"/>
  <c r="U33" i="1"/>
  <c r="AT33" i="1"/>
  <c r="AS33" i="1"/>
  <c r="R33" i="1"/>
  <c r="O33" i="1"/>
  <c r="G33" i="1"/>
  <c r="D33" i="1"/>
  <c r="BB32" i="1"/>
  <c r="BA32" i="1"/>
  <c r="AZ32" i="1"/>
  <c r="AY32" i="1"/>
  <c r="AX32" i="1"/>
  <c r="AV32" i="1"/>
  <c r="AT32" i="1"/>
  <c r="AS32" i="1"/>
  <c r="AP32" i="1"/>
  <c r="AO32" i="1"/>
  <c r="AG32" i="1"/>
  <c r="AC32" i="1"/>
  <c r="U32" i="1"/>
  <c r="O32" i="1"/>
  <c r="G32" i="1"/>
  <c r="BB31" i="1"/>
  <c r="BA31" i="1"/>
  <c r="AZ31" i="1"/>
  <c r="AY31" i="1"/>
  <c r="AX31" i="1"/>
  <c r="AW31" i="1"/>
  <c r="AV31" i="1"/>
  <c r="AT31" i="1"/>
  <c r="AS31" i="1"/>
  <c r="AP31" i="1"/>
  <c r="AO31" i="1"/>
  <c r="AG31" i="1"/>
  <c r="AC31" i="1"/>
  <c r="U31" i="1"/>
  <c r="O31" i="1"/>
  <c r="G31" i="1"/>
  <c r="AU31" i="1" l="1"/>
  <c r="BC33" i="1"/>
  <c r="AU32" i="1"/>
  <c r="AU33" i="1"/>
  <c r="BC32" i="1"/>
  <c r="BC31" i="1"/>
  <c r="AR33" i="1"/>
  <c r="AO30" i="1"/>
  <c r="BB30" i="1"/>
  <c r="BA30" i="1"/>
  <c r="AZ30" i="1"/>
  <c r="AY30" i="1"/>
  <c r="AX30" i="1"/>
  <c r="AW30" i="1"/>
  <c r="AV30" i="1"/>
  <c r="AF30" i="1"/>
  <c r="AG30" i="1"/>
  <c r="AP30" i="1"/>
  <c r="AR30" i="1" s="1"/>
  <c r="BC30" i="1" l="1"/>
  <c r="AC30" i="1"/>
  <c r="U30" i="1"/>
  <c r="AT30" i="1"/>
  <c r="AS30" i="1"/>
  <c r="R30" i="1"/>
  <c r="O30" i="1"/>
  <c r="G30" i="1"/>
  <c r="D30" i="1"/>
  <c r="AU30" i="1" l="1"/>
  <c r="AO29" i="1"/>
  <c r="BB29" i="1"/>
  <c r="BA29" i="1"/>
  <c r="AZ29" i="1"/>
  <c r="AY29" i="1"/>
  <c r="AX29" i="1"/>
  <c r="AW29" i="1"/>
  <c r="AV29" i="1"/>
  <c r="AF29" i="1"/>
  <c r="AG29" i="1"/>
  <c r="AP29" i="1"/>
  <c r="AR29" i="1" s="1"/>
  <c r="AC29" i="1"/>
  <c r="U29" i="1"/>
  <c r="AT29" i="1"/>
  <c r="AS29" i="1"/>
  <c r="R29" i="1"/>
  <c r="O29" i="1"/>
  <c r="G29" i="1"/>
  <c r="D29" i="1"/>
  <c r="BC29" i="1" l="1"/>
  <c r="AU29" i="1"/>
  <c r="AO28" i="1"/>
  <c r="BB28" i="1"/>
  <c r="BA28" i="1"/>
  <c r="AZ28" i="1"/>
  <c r="AY28" i="1"/>
  <c r="AX28" i="1"/>
  <c r="AV28" i="1"/>
  <c r="AW28" i="1"/>
  <c r="AF28" i="1"/>
  <c r="AG28" i="1"/>
  <c r="AP28" i="1"/>
  <c r="AR28" i="1" s="1"/>
  <c r="AC28" i="1"/>
  <c r="U28" i="1"/>
  <c r="AT28" i="1"/>
  <c r="AS28" i="1"/>
  <c r="R28" i="1"/>
  <c r="O28" i="1"/>
  <c r="G28" i="1"/>
  <c r="D28" i="1"/>
  <c r="BC28" i="1" l="1"/>
  <c r="AU28" i="1"/>
  <c r="AO27" i="1"/>
  <c r="BB27" i="1"/>
  <c r="BA27" i="1"/>
  <c r="AZ27" i="1"/>
  <c r="AY27" i="1"/>
  <c r="AX27" i="1"/>
  <c r="AW27" i="1"/>
  <c r="AV27" i="1"/>
  <c r="AF27" i="1"/>
  <c r="AG27" i="1"/>
  <c r="AP27" i="1"/>
  <c r="AR27" i="1" s="1"/>
  <c r="AC27" i="1"/>
  <c r="U27" i="1"/>
  <c r="AT27" i="1"/>
  <c r="AS27" i="1"/>
  <c r="R27" i="1"/>
  <c r="O27" i="1"/>
  <c r="G27" i="1"/>
  <c r="D27" i="1"/>
  <c r="BC27" i="1" l="1"/>
  <c r="AU27" i="1"/>
  <c r="AO26" i="1"/>
  <c r="BB26" i="1"/>
  <c r="BA26" i="1"/>
  <c r="AZ26" i="1"/>
  <c r="AY26" i="1"/>
  <c r="AX26" i="1"/>
  <c r="AW26" i="1"/>
  <c r="AV26" i="1"/>
  <c r="AF26" i="1"/>
  <c r="AG26" i="1"/>
  <c r="AP26" i="1"/>
  <c r="AC26" i="1"/>
  <c r="U26" i="1"/>
  <c r="AT26" i="1"/>
  <c r="AS26" i="1"/>
  <c r="R26" i="1"/>
  <c r="O26" i="1"/>
  <c r="G26" i="1"/>
  <c r="D26" i="1"/>
  <c r="AU26" i="1" l="1"/>
  <c r="AR26" i="1"/>
  <c r="BC26" i="1"/>
  <c r="BB25" i="1"/>
  <c r="BA25" i="1"/>
  <c r="AZ25" i="1"/>
  <c r="AY25" i="1"/>
  <c r="AX25" i="1"/>
  <c r="AW25" i="1"/>
  <c r="AV25" i="1"/>
  <c r="AT25" i="1"/>
  <c r="AS25" i="1"/>
  <c r="AP25" i="1"/>
  <c r="AO25" i="1"/>
  <c r="AG25" i="1"/>
  <c r="AC25" i="1"/>
  <c r="U25" i="1"/>
  <c r="O25" i="1"/>
  <c r="G25" i="1"/>
  <c r="BB24" i="1"/>
  <c r="BA24" i="1"/>
  <c r="AZ24" i="1"/>
  <c r="AY24" i="1"/>
  <c r="AX24" i="1"/>
  <c r="AW24" i="1"/>
  <c r="AV24" i="1"/>
  <c r="AT24" i="1"/>
  <c r="AS24" i="1"/>
  <c r="AP24" i="1"/>
  <c r="AO24" i="1"/>
  <c r="AG24" i="1"/>
  <c r="AC24" i="1"/>
  <c r="U24" i="1"/>
  <c r="O24" i="1"/>
  <c r="G24" i="1"/>
  <c r="BC24" i="1" l="1"/>
  <c r="AU25" i="1"/>
  <c r="AU24" i="1"/>
  <c r="BC25" i="1"/>
  <c r="AO23" i="1"/>
  <c r="BB23" i="1"/>
  <c r="BA23" i="1"/>
  <c r="AZ23" i="1"/>
  <c r="AY23" i="1"/>
  <c r="AX23" i="1"/>
  <c r="AW23" i="1"/>
  <c r="AV23" i="1"/>
  <c r="AF23" i="1"/>
  <c r="AG23" i="1"/>
  <c r="AP23" i="1"/>
  <c r="AR23" i="1" s="1"/>
  <c r="AC23" i="1"/>
  <c r="U23" i="1"/>
  <c r="AT23" i="1"/>
  <c r="AS23" i="1"/>
  <c r="R23" i="1"/>
  <c r="O23" i="1"/>
  <c r="G23" i="1"/>
  <c r="D23" i="1"/>
  <c r="BC23" i="1" l="1"/>
  <c r="AU23" i="1"/>
  <c r="AO22" i="1"/>
  <c r="BB22" i="1"/>
  <c r="BA22" i="1"/>
  <c r="AZ22" i="1"/>
  <c r="AY22" i="1"/>
  <c r="AX22" i="1"/>
  <c r="AW22" i="1"/>
  <c r="AV22" i="1"/>
  <c r="AF22" i="1"/>
  <c r="AG22" i="1"/>
  <c r="AP22" i="1"/>
  <c r="AR22" i="1" s="1"/>
  <c r="AC22" i="1"/>
  <c r="U22" i="1"/>
  <c r="AT22" i="1"/>
  <c r="AS22" i="1"/>
  <c r="R22" i="1"/>
  <c r="O22" i="1"/>
  <c r="G22" i="1"/>
  <c r="D22" i="1"/>
  <c r="BC22" i="1" l="1"/>
  <c r="AU22" i="1"/>
  <c r="AO21" i="1"/>
  <c r="BB21" i="1"/>
  <c r="BA21" i="1"/>
  <c r="AZ21" i="1"/>
  <c r="AY21" i="1"/>
  <c r="AX21" i="1"/>
  <c r="AW21" i="1"/>
  <c r="AV21" i="1"/>
  <c r="AF21" i="1"/>
  <c r="AG21" i="1"/>
  <c r="AP21" i="1"/>
  <c r="AR21" i="1" s="1"/>
  <c r="AC21" i="1"/>
  <c r="U21" i="1"/>
  <c r="AT21" i="1"/>
  <c r="AS21" i="1"/>
  <c r="R21" i="1"/>
  <c r="O21" i="1"/>
  <c r="G21" i="1"/>
  <c r="D21" i="1"/>
  <c r="BC21" i="1" l="1"/>
  <c r="AU21" i="1"/>
  <c r="AO20" i="1"/>
  <c r="BB20" i="1"/>
  <c r="BA20" i="1"/>
  <c r="AZ20" i="1"/>
  <c r="AY20" i="1"/>
  <c r="AX20" i="1"/>
  <c r="AW20" i="1"/>
  <c r="AV20" i="1"/>
  <c r="AF20" i="1"/>
  <c r="AG20" i="1"/>
  <c r="AP20" i="1"/>
  <c r="AR20" i="1" s="1"/>
  <c r="AC20" i="1"/>
  <c r="U20" i="1"/>
  <c r="AT20" i="1"/>
  <c r="AS20" i="1"/>
  <c r="R20" i="1"/>
  <c r="O20" i="1"/>
  <c r="G20" i="1"/>
  <c r="D20" i="1"/>
  <c r="BC20" i="1" l="1"/>
  <c r="AU20" i="1"/>
  <c r="AO19" i="1"/>
  <c r="BB19" i="1"/>
  <c r="BA19" i="1"/>
  <c r="AZ19" i="1"/>
  <c r="AY19" i="1"/>
  <c r="AX19" i="1"/>
  <c r="AW19" i="1"/>
  <c r="AV19" i="1"/>
  <c r="AF19" i="1"/>
  <c r="AG19" i="1"/>
  <c r="AP19" i="1"/>
  <c r="AR19" i="1" s="1"/>
  <c r="AC19" i="1"/>
  <c r="U19" i="1"/>
  <c r="AT19" i="1"/>
  <c r="AS19" i="1"/>
  <c r="R19" i="1"/>
  <c r="O19" i="1"/>
  <c r="G19" i="1"/>
  <c r="D19" i="1"/>
  <c r="BB18" i="1"/>
  <c r="BA18" i="1"/>
  <c r="AZ18" i="1"/>
  <c r="AY18" i="1"/>
  <c r="AX18" i="1"/>
  <c r="AW18" i="1"/>
  <c r="AV18" i="1"/>
  <c r="AT18" i="1"/>
  <c r="AS18" i="1"/>
  <c r="AP18" i="1"/>
  <c r="AO18" i="1"/>
  <c r="AG18" i="1"/>
  <c r="AC18" i="1"/>
  <c r="U18" i="1"/>
  <c r="O18" i="1"/>
  <c r="G18" i="1"/>
  <c r="BB17" i="1"/>
  <c r="BA17" i="1"/>
  <c r="AZ17" i="1"/>
  <c r="AY17" i="1"/>
  <c r="AX17" i="1"/>
  <c r="AW17" i="1"/>
  <c r="AV17" i="1"/>
  <c r="AT17" i="1"/>
  <c r="AS17" i="1"/>
  <c r="AP17" i="1"/>
  <c r="AO17" i="1"/>
  <c r="AG17" i="1"/>
  <c r="AC17" i="1"/>
  <c r="U17" i="1"/>
  <c r="O17" i="1"/>
  <c r="G17" i="1"/>
  <c r="AU17" i="1" l="1"/>
  <c r="AU18" i="1"/>
  <c r="BC19" i="1"/>
  <c r="AU19" i="1"/>
  <c r="BC17" i="1"/>
  <c r="BC18" i="1"/>
  <c r="AO16" i="1"/>
  <c r="BB16" i="1"/>
  <c r="BA16" i="1"/>
  <c r="AZ16" i="1"/>
  <c r="AY16" i="1"/>
  <c r="AX16" i="1"/>
  <c r="AW16" i="1"/>
  <c r="AV16" i="1"/>
  <c r="AF16" i="1"/>
  <c r="AG16" i="1"/>
  <c r="AP16" i="1"/>
  <c r="AR16" i="1" s="1"/>
  <c r="AC16" i="1"/>
  <c r="U16" i="1"/>
  <c r="AT16" i="1"/>
  <c r="AS16" i="1"/>
  <c r="R16" i="1"/>
  <c r="O16" i="1"/>
  <c r="G16" i="1"/>
  <c r="D16" i="1"/>
  <c r="BC16" i="1" l="1"/>
  <c r="AU16" i="1"/>
  <c r="AO15" i="1"/>
  <c r="BB15" i="1"/>
  <c r="BA15" i="1"/>
  <c r="AZ15" i="1"/>
  <c r="AY15" i="1"/>
  <c r="AX15" i="1"/>
  <c r="AW15" i="1"/>
  <c r="AV15" i="1"/>
  <c r="AF15" i="1"/>
  <c r="AG15" i="1"/>
  <c r="AP15" i="1"/>
  <c r="AR15" i="1" s="1"/>
  <c r="AC15" i="1"/>
  <c r="U15" i="1"/>
  <c r="AT15" i="1"/>
  <c r="AS15" i="1"/>
  <c r="R15" i="1"/>
  <c r="O15" i="1"/>
  <c r="G15" i="1"/>
  <c r="D15" i="1"/>
  <c r="BC15" i="1" l="1"/>
  <c r="AU15" i="1"/>
  <c r="AO14" i="1"/>
  <c r="BB14" i="1"/>
  <c r="BA14" i="1"/>
  <c r="AZ14" i="1"/>
  <c r="AY14" i="1"/>
  <c r="AX14" i="1"/>
  <c r="AW14" i="1"/>
  <c r="AV14" i="1"/>
  <c r="AF14" i="1"/>
  <c r="AG14" i="1"/>
  <c r="AP14" i="1"/>
  <c r="AR14" i="1" s="1"/>
  <c r="AC14" i="1"/>
  <c r="U14" i="1"/>
  <c r="AT14" i="1"/>
  <c r="AS14" i="1"/>
  <c r="R14" i="1"/>
  <c r="O14" i="1"/>
  <c r="G14" i="1"/>
  <c r="D14" i="1"/>
  <c r="BC14" i="1" l="1"/>
  <c r="AU14" i="1"/>
  <c r="AO13" i="1"/>
  <c r="BB13" i="1"/>
  <c r="BA13" i="1"/>
  <c r="AZ13" i="1"/>
  <c r="AY13" i="1"/>
  <c r="AX13" i="1"/>
  <c r="AW13" i="1"/>
  <c r="AV13" i="1"/>
  <c r="AF13" i="1"/>
  <c r="AG13" i="1"/>
  <c r="AP13" i="1"/>
  <c r="AR13" i="1" s="1"/>
  <c r="AC13" i="1"/>
  <c r="U13" i="1"/>
  <c r="AT13" i="1"/>
  <c r="AS13" i="1"/>
  <c r="R13" i="1"/>
  <c r="O13" i="1"/>
  <c r="G13" i="1"/>
  <c r="D13" i="1"/>
  <c r="AU13" i="1" l="1"/>
  <c r="BC13" i="1"/>
  <c r="AO12" i="1"/>
  <c r="BB12" i="1"/>
  <c r="BA12" i="1"/>
  <c r="AZ12" i="1"/>
  <c r="AY12" i="1"/>
  <c r="AX12" i="1"/>
  <c r="AW12" i="1"/>
  <c r="AV12" i="1"/>
  <c r="AF12" i="1"/>
  <c r="AG12" i="1"/>
  <c r="AP12" i="1"/>
  <c r="AR12" i="1" s="1"/>
  <c r="AC12" i="1"/>
  <c r="U12" i="1"/>
  <c r="AT12" i="1"/>
  <c r="AS12" i="1"/>
  <c r="R12" i="1"/>
  <c r="O12" i="1"/>
  <c r="G12" i="1"/>
  <c r="D12" i="1"/>
  <c r="BB11" i="1"/>
  <c r="BA11" i="1"/>
  <c r="AZ11" i="1"/>
  <c r="AY11" i="1"/>
  <c r="AX11" i="1"/>
  <c r="AW11" i="1"/>
  <c r="AV11" i="1"/>
  <c r="AT11" i="1"/>
  <c r="AS11" i="1"/>
  <c r="AP11" i="1"/>
  <c r="AO11" i="1"/>
  <c r="AG11" i="1"/>
  <c r="AC11" i="1"/>
  <c r="U11" i="1"/>
  <c r="O11" i="1"/>
  <c r="G11" i="1"/>
  <c r="BB10" i="1"/>
  <c r="BA10" i="1"/>
  <c r="AZ10" i="1"/>
  <c r="AY10" i="1"/>
  <c r="AX10" i="1"/>
  <c r="AW10" i="1"/>
  <c r="AV10" i="1"/>
  <c r="AT10" i="1"/>
  <c r="AS10" i="1"/>
  <c r="AP10" i="1"/>
  <c r="AO10" i="1"/>
  <c r="AG10" i="1"/>
  <c r="AC10" i="1"/>
  <c r="U10" i="1"/>
  <c r="O10" i="1"/>
  <c r="G10" i="1"/>
  <c r="BC12" i="1" l="1"/>
  <c r="BC10" i="1"/>
  <c r="AU12" i="1"/>
  <c r="AU11" i="1"/>
  <c r="BC11" i="1"/>
  <c r="AU10" i="1"/>
  <c r="AV9" i="1"/>
  <c r="AW9" i="1"/>
  <c r="AX9" i="1"/>
  <c r="AY9" i="1"/>
  <c r="AZ9" i="1"/>
  <c r="BA9" i="1"/>
  <c r="BB9" i="1"/>
  <c r="G9" i="1"/>
  <c r="BB8" i="1"/>
  <c r="BA8" i="1"/>
  <c r="AZ8" i="1"/>
  <c r="AY8" i="1"/>
  <c r="AX8" i="1"/>
  <c r="AW8" i="1"/>
  <c r="AV8" i="1"/>
  <c r="AS9" i="1"/>
  <c r="AS8" i="1"/>
  <c r="AP9" i="1"/>
  <c r="AR9" i="1" s="1"/>
  <c r="AP8" i="1"/>
  <c r="BI24" i="4"/>
  <c r="BS20" i="4"/>
  <c r="BQ20" i="4"/>
  <c r="BP20" i="4"/>
  <c r="BO20" i="4"/>
  <c r="BN20" i="4"/>
  <c r="BM20" i="4"/>
  <c r="BL20" i="4"/>
  <c r="BK20" i="4"/>
  <c r="BJ20" i="4"/>
  <c r="BI20" i="4"/>
  <c r="BH20" i="4"/>
  <c r="BF20" i="4"/>
  <c r="BE20" i="4"/>
  <c r="BD20" i="4"/>
  <c r="BC20" i="4"/>
  <c r="BB20" i="4"/>
  <c r="BA20" i="4"/>
  <c r="AZ20" i="4"/>
  <c r="AY20" i="4"/>
  <c r="AX20" i="4"/>
  <c r="AW20" i="4"/>
  <c r="AV20" i="4"/>
  <c r="AT20" i="4"/>
  <c r="AU20" i="4" s="1"/>
  <c r="AS20" i="4"/>
  <c r="AR20" i="4"/>
  <c r="AQ20" i="4"/>
  <c r="AP20" i="4"/>
  <c r="AO20" i="4"/>
  <c r="AN20" i="4"/>
  <c r="AM20" i="4"/>
  <c r="AL20" i="4"/>
  <c r="AK20" i="4"/>
  <c r="AH20" i="4"/>
  <c r="AG20" i="4"/>
  <c r="AE20" i="4"/>
  <c r="AD20" i="4"/>
  <c r="AB20" i="4"/>
  <c r="AA20" i="4"/>
  <c r="Z20" i="4"/>
  <c r="Y20" i="4"/>
  <c r="X20" i="4"/>
  <c r="W20" i="4"/>
  <c r="V20" i="4"/>
  <c r="T20" i="4"/>
  <c r="S20" i="4"/>
  <c r="Q20" i="4"/>
  <c r="P20" i="4"/>
  <c r="N20" i="4"/>
  <c r="M20" i="4"/>
  <c r="L20" i="4"/>
  <c r="K20" i="4"/>
  <c r="J20" i="4"/>
  <c r="I20" i="4"/>
  <c r="H20" i="4"/>
  <c r="F20" i="4"/>
  <c r="E20" i="4"/>
  <c r="C20" i="4"/>
  <c r="B20" i="4"/>
  <c r="BX19" i="4"/>
  <c r="BY19" i="4" s="1"/>
  <c r="BX18" i="4"/>
  <c r="BY18" i="4" s="1"/>
  <c r="BX17" i="4"/>
  <c r="BY17" i="4" s="1"/>
  <c r="CB16" i="4"/>
  <c r="BX16" i="4"/>
  <c r="BY16" i="4" s="1"/>
  <c r="BX15" i="4"/>
  <c r="BY15" i="4" s="1"/>
  <c r="BX14" i="4"/>
  <c r="BY14" i="4" s="1"/>
  <c r="BX13" i="4"/>
  <c r="BY13" i="4" s="1"/>
  <c r="BX12" i="4"/>
  <c r="BY12" i="4" s="1"/>
  <c r="BX11" i="4"/>
  <c r="BY11" i="4" s="1"/>
  <c r="BX10" i="4"/>
  <c r="BY10" i="4" s="1"/>
  <c r="BX9" i="4"/>
  <c r="BY9" i="4" s="1"/>
  <c r="BX8" i="4"/>
  <c r="BY8" i="4" s="1"/>
  <c r="BS20" i="3"/>
  <c r="BQ20" i="3"/>
  <c r="BP20" i="3"/>
  <c r="BO20" i="3"/>
  <c r="BN20" i="3"/>
  <c r="BM20" i="3"/>
  <c r="BL20" i="3"/>
  <c r="BK20" i="3"/>
  <c r="BJ20" i="3"/>
  <c r="BI20" i="3"/>
  <c r="BH20" i="3"/>
  <c r="BF20" i="3"/>
  <c r="BE20" i="3"/>
  <c r="BD20" i="3"/>
  <c r="BC20" i="3"/>
  <c r="BB20" i="3"/>
  <c r="BA20" i="3"/>
  <c r="AZ20" i="3"/>
  <c r="AY20" i="3"/>
  <c r="AX20" i="3"/>
  <c r="AW20" i="3"/>
  <c r="AV20" i="3"/>
  <c r="AT20" i="3"/>
  <c r="AU20" i="3" s="1"/>
  <c r="AS20" i="3"/>
  <c r="AR20" i="3"/>
  <c r="AQ20" i="3"/>
  <c r="AP20" i="3"/>
  <c r="AO20" i="3"/>
  <c r="AN20" i="3"/>
  <c r="AM20" i="3"/>
  <c r="AL20" i="3"/>
  <c r="AK20" i="3"/>
  <c r="AH20" i="3"/>
  <c r="AG20" i="3"/>
  <c r="AE20" i="3"/>
  <c r="AD20" i="3"/>
  <c r="AB20" i="3"/>
  <c r="AA20" i="3"/>
  <c r="Z20" i="3"/>
  <c r="Y20" i="3"/>
  <c r="X20" i="3"/>
  <c r="W20" i="3"/>
  <c r="V20" i="3"/>
  <c r="T20" i="3"/>
  <c r="S20" i="3"/>
  <c r="Q20" i="3"/>
  <c r="P20" i="3"/>
  <c r="N20" i="3"/>
  <c r="M20" i="3"/>
  <c r="L20" i="3"/>
  <c r="K20" i="3"/>
  <c r="J20" i="3"/>
  <c r="I20" i="3"/>
  <c r="H20" i="3"/>
  <c r="F20" i="3"/>
  <c r="E20" i="3"/>
  <c r="C20" i="3"/>
  <c r="B20" i="3"/>
  <c r="BX19" i="3"/>
  <c r="BY19" i="3" s="1"/>
  <c r="BX18" i="3"/>
  <c r="BY18" i="3" s="1"/>
  <c r="BX17" i="3"/>
  <c r="BY17" i="3" s="1"/>
  <c r="CB16" i="3"/>
  <c r="BX16" i="3"/>
  <c r="BY16" i="3" s="1"/>
  <c r="BX15" i="3"/>
  <c r="BY15" i="3" s="1"/>
  <c r="BX14" i="3"/>
  <c r="BY14" i="3" s="1"/>
  <c r="BX13" i="3"/>
  <c r="BY13" i="3" s="1"/>
  <c r="BX12" i="3"/>
  <c r="BY12" i="3" s="1"/>
  <c r="BX11" i="3"/>
  <c r="BY11" i="3" s="1"/>
  <c r="BX10" i="3"/>
  <c r="BY10" i="3" s="1"/>
  <c r="BX9" i="3"/>
  <c r="BY9" i="3" s="1"/>
  <c r="BX8" i="3"/>
  <c r="BY8" i="3" s="1"/>
  <c r="BC9" i="1" l="1"/>
  <c r="AF20" i="3"/>
  <c r="BG20" i="4"/>
  <c r="R20" i="3"/>
  <c r="O20" i="3"/>
  <c r="BG20" i="3"/>
  <c r="O20" i="4"/>
  <c r="AJ20" i="4"/>
  <c r="G20" i="3"/>
  <c r="AI20" i="3"/>
  <c r="BR20" i="4"/>
  <c r="U20" i="4"/>
  <c r="D20" i="3"/>
  <c r="BR20" i="3"/>
  <c r="U20" i="3"/>
  <c r="AC20" i="3"/>
  <c r="AC20" i="4"/>
  <c r="BX20" i="4"/>
  <c r="BY20" i="4" s="1"/>
  <c r="AI20" i="4"/>
  <c r="D20" i="4"/>
  <c r="R20" i="4"/>
  <c r="G20" i="4"/>
  <c r="AF20" i="4"/>
  <c r="AJ20" i="3"/>
  <c r="BX20" i="3"/>
  <c r="BY20" i="3" s="1"/>
  <c r="BD39" i="1"/>
  <c r="AQ39" i="1"/>
  <c r="AN39" i="1"/>
  <c r="AM39" i="1"/>
  <c r="AL39" i="1"/>
  <c r="AK39" i="1"/>
  <c r="AJ39" i="1"/>
  <c r="AI39" i="1"/>
  <c r="AH39" i="1"/>
  <c r="AE39" i="1"/>
  <c r="AD39" i="1"/>
  <c r="AB39" i="1"/>
  <c r="AA39" i="1"/>
  <c r="Z39" i="1"/>
  <c r="Y39" i="1"/>
  <c r="X39" i="1"/>
  <c r="W39" i="1"/>
  <c r="V39" i="1"/>
  <c r="T39" i="1"/>
  <c r="S39" i="1"/>
  <c r="Q39" i="1"/>
  <c r="P39" i="1"/>
  <c r="N39" i="1"/>
  <c r="M39" i="1"/>
  <c r="L39" i="1"/>
  <c r="K39" i="1"/>
  <c r="J39" i="1"/>
  <c r="I39" i="1"/>
  <c r="H39" i="1"/>
  <c r="F39" i="1"/>
  <c r="E39" i="1"/>
  <c r="C39" i="1"/>
  <c r="B39" i="1"/>
  <c r="G39" i="1" s="1"/>
  <c r="AT9" i="1"/>
  <c r="AO9" i="1"/>
  <c r="AG9" i="1"/>
  <c r="AF9" i="1"/>
  <c r="AC9" i="1"/>
  <c r="U9" i="1"/>
  <c r="R9" i="1"/>
  <c r="O9" i="1"/>
  <c r="D9" i="1"/>
  <c r="AT8" i="1"/>
  <c r="AS39" i="1"/>
  <c r="AO8" i="1"/>
  <c r="AG8" i="1"/>
  <c r="AC8" i="1"/>
  <c r="U8" i="1"/>
  <c r="O8" i="1"/>
  <c r="G8" i="1"/>
  <c r="AC39" i="1" l="1"/>
  <c r="AT39" i="1"/>
  <c r="AW39" i="1"/>
  <c r="AY39" i="1"/>
  <c r="AZ39" i="1"/>
  <c r="BB39" i="1"/>
  <c r="O39" i="1"/>
  <c r="BC8" i="1"/>
  <c r="AX39" i="1"/>
  <c r="AG39" i="1"/>
  <c r="U39" i="1"/>
  <c r="AF39" i="1"/>
  <c r="AV39" i="1"/>
  <c r="AO39" i="1"/>
  <c r="BA39" i="1"/>
  <c r="AP39" i="1"/>
  <c r="AR39" i="1" s="1"/>
  <c r="D39" i="1"/>
  <c r="AU8" i="1"/>
  <c r="R39" i="1"/>
  <c r="AU9" i="1"/>
  <c r="AU39" i="1" l="1"/>
  <c r="BC39" i="1"/>
</calcChain>
</file>

<file path=xl/sharedStrings.xml><?xml version="1.0" encoding="utf-8"?>
<sst xmlns="http://schemas.openxmlformats.org/spreadsheetml/2006/main" count="881" uniqueCount="143">
  <si>
    <r>
      <rPr>
        <sz val="18"/>
        <rFont val="태웅고딕 EB"/>
        <family val="1"/>
        <charset val="129"/>
      </rPr>
      <t>문서제목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Document Name</t>
    </r>
    <phoneticPr fontId="3" type="noConversion"/>
  </si>
  <si>
    <r>
      <rPr>
        <sz val="18"/>
        <rFont val="태웅고딕 EB"/>
        <family val="1"/>
        <charset val="129"/>
      </rPr>
      <t>생산량 집계표</t>
    </r>
    <r>
      <rPr>
        <sz val="20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Output Tabulation</t>
    </r>
    <phoneticPr fontId="3" type="noConversion"/>
  </si>
  <si>
    <t>결
재</t>
    <phoneticPr fontId="3" type="noConversion"/>
  </si>
  <si>
    <t>담당</t>
    <phoneticPr fontId="3" type="noConversion"/>
  </si>
  <si>
    <t>팀 장</t>
    <phoneticPr fontId="3" type="noConversion"/>
  </si>
  <si>
    <t>부문장</t>
    <phoneticPr fontId="3" type="noConversion"/>
  </si>
  <si>
    <r>
      <rPr>
        <sz val="18"/>
        <rFont val="태웅고딕 EB"/>
        <family val="1"/>
        <charset val="129"/>
      </rPr>
      <t>작성일자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Issue Date</t>
    </r>
    <phoneticPr fontId="3" type="noConversion"/>
  </si>
  <si>
    <r>
      <rPr>
        <sz val="18"/>
        <rFont val="태웅고딕 EB"/>
        <family val="1"/>
        <charset val="129"/>
      </rPr>
      <t>작성부서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Issue Department</t>
    </r>
    <phoneticPr fontId="3" type="noConversion"/>
  </si>
  <si>
    <t>단조생산부문</t>
    <phoneticPr fontId="3" type="noConversion"/>
  </si>
  <si>
    <t>TOTAL</t>
    <phoneticPr fontId="3" type="noConversion"/>
  </si>
  <si>
    <t>99010
테웅</t>
    <phoneticPr fontId="3" type="noConversion"/>
  </si>
  <si>
    <t>황지</t>
    <phoneticPr fontId="3" type="noConversion"/>
  </si>
  <si>
    <t>COGGING</t>
    <phoneticPr fontId="3" type="noConversion"/>
  </si>
  <si>
    <t>합계</t>
    <phoneticPr fontId="3" type="noConversion"/>
  </si>
  <si>
    <t>재제작 (자체)</t>
    <phoneticPr fontId="3" type="noConversion"/>
  </si>
  <si>
    <t>재제작 (품질)</t>
    <phoneticPr fontId="3" type="noConversion"/>
  </si>
  <si>
    <t>재질별 제품 생산량</t>
    <phoneticPr fontId="3" type="noConversion"/>
  </si>
  <si>
    <t>생산량</t>
    <phoneticPr fontId="3" type="noConversion"/>
  </si>
  <si>
    <t>계획량</t>
    <phoneticPr fontId="3" type="noConversion"/>
  </si>
  <si>
    <t>달성률</t>
    <phoneticPr fontId="3" type="noConversion"/>
  </si>
  <si>
    <t>재제작</t>
    <phoneticPr fontId="3" type="noConversion"/>
  </si>
  <si>
    <t>수정</t>
    <phoneticPr fontId="3" type="noConversion"/>
  </si>
  <si>
    <t>C/S</t>
    <phoneticPr fontId="3" type="noConversion"/>
  </si>
  <si>
    <t>A/S</t>
    <phoneticPr fontId="3" type="noConversion"/>
  </si>
  <si>
    <t>SUS</t>
    <phoneticPr fontId="3" type="noConversion"/>
  </si>
  <si>
    <t xml:space="preserve">재제작 </t>
    <phoneticPr fontId="3" type="noConversion"/>
  </si>
  <si>
    <t>합계</t>
    <phoneticPr fontId="3" type="noConversion"/>
  </si>
  <si>
    <r>
      <rPr>
        <sz val="18"/>
        <rFont val="태웅고딕 EB"/>
        <family val="1"/>
        <charset val="129"/>
      </rPr>
      <t>문서제목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Document Name</t>
    </r>
    <phoneticPr fontId="3" type="noConversion"/>
  </si>
  <si>
    <t>2025년 생산량 집계표</t>
    <phoneticPr fontId="3" type="noConversion"/>
  </si>
  <si>
    <t>결
재</t>
    <phoneticPr fontId="3" type="noConversion"/>
  </si>
  <si>
    <t>담당팀원</t>
    <phoneticPr fontId="3" type="noConversion"/>
  </si>
  <si>
    <t>단조팀장</t>
    <phoneticPr fontId="3" type="noConversion"/>
  </si>
  <si>
    <t>생산부문장</t>
    <phoneticPr fontId="3" type="noConversion"/>
  </si>
  <si>
    <t>부사장</t>
    <phoneticPr fontId="3" type="noConversion"/>
  </si>
  <si>
    <r>
      <rPr>
        <sz val="18"/>
        <rFont val="태웅고딕 EB"/>
        <family val="1"/>
        <charset val="129"/>
      </rPr>
      <t>작성일자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Issue Date</t>
    </r>
    <phoneticPr fontId="3" type="noConversion"/>
  </si>
  <si>
    <t>2025.01.24   금요일</t>
    <phoneticPr fontId="3" type="noConversion"/>
  </si>
  <si>
    <r>
      <rPr>
        <sz val="18"/>
        <rFont val="태웅고딕 EB"/>
        <family val="1"/>
        <charset val="129"/>
      </rPr>
      <t>작성부서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Issue Department</t>
    </r>
    <phoneticPr fontId="3" type="noConversion"/>
  </si>
  <si>
    <t>단조생산부문</t>
    <phoneticPr fontId="3" type="noConversion"/>
  </si>
  <si>
    <t>작업월
(계획일)</t>
    <phoneticPr fontId="3" type="noConversion"/>
  </si>
  <si>
    <t>15000TON (연 45,410 TON)</t>
    <phoneticPr fontId="3" type="noConversion"/>
  </si>
  <si>
    <t>5000TON (연 23,900 TON)</t>
    <phoneticPr fontId="3" type="noConversion"/>
  </si>
  <si>
    <t>8000TON ( 연 황지 3,370 TON)</t>
    <phoneticPr fontId="3" type="noConversion"/>
  </si>
  <si>
    <t>￠9500 R/M (연 21,190 TON)</t>
    <phoneticPr fontId="3" type="noConversion"/>
  </si>
  <si>
    <t>TOTAL (연 90,500 TON)</t>
    <phoneticPr fontId="3" type="noConversion"/>
  </si>
  <si>
    <t>TOTAL</t>
    <phoneticPr fontId="3" type="noConversion"/>
  </si>
  <si>
    <t>KO411</t>
    <phoneticPr fontId="3" type="noConversion"/>
  </si>
  <si>
    <t>제품(일일 190TON)</t>
    <phoneticPr fontId="3" type="noConversion"/>
  </si>
  <si>
    <t>황지</t>
    <phoneticPr fontId="3" type="noConversion"/>
  </si>
  <si>
    <t>COGGING</t>
    <phoneticPr fontId="3" type="noConversion"/>
  </si>
  <si>
    <t>합계</t>
    <phoneticPr fontId="3" type="noConversion"/>
  </si>
  <si>
    <t>재제작 (자체)</t>
    <phoneticPr fontId="3" type="noConversion"/>
  </si>
  <si>
    <t>재제작 (품질)</t>
    <phoneticPr fontId="3" type="noConversion"/>
  </si>
  <si>
    <t>재질별 제품 생산량</t>
    <phoneticPr fontId="3" type="noConversion"/>
  </si>
  <si>
    <t>제품(일일 100TON)</t>
    <phoneticPr fontId="3" type="noConversion"/>
  </si>
  <si>
    <t>제품(일일 -TON)</t>
    <phoneticPr fontId="3" type="noConversion"/>
  </si>
  <si>
    <t>황지 (일일 20.8TON)</t>
    <phoneticPr fontId="3" type="noConversion"/>
  </si>
  <si>
    <t>제품(일일 130.8TON)</t>
    <phoneticPr fontId="3" type="noConversion"/>
  </si>
  <si>
    <t>제품(일일 420.8TON)</t>
    <phoneticPr fontId="3" type="noConversion"/>
  </si>
  <si>
    <t>제품(양품)</t>
    <phoneticPr fontId="3" type="noConversion"/>
  </si>
  <si>
    <t>생산량</t>
    <phoneticPr fontId="3" type="noConversion"/>
  </si>
  <si>
    <t>계획량</t>
    <phoneticPr fontId="3" type="noConversion"/>
  </si>
  <si>
    <t>달성률</t>
    <phoneticPr fontId="3" type="noConversion"/>
  </si>
  <si>
    <t>재제작</t>
    <phoneticPr fontId="3" type="noConversion"/>
  </si>
  <si>
    <t>수정</t>
    <phoneticPr fontId="3" type="noConversion"/>
  </si>
  <si>
    <t>C/S</t>
    <phoneticPr fontId="3" type="noConversion"/>
  </si>
  <si>
    <t>A/S</t>
    <phoneticPr fontId="3" type="noConversion"/>
  </si>
  <si>
    <t>SUS</t>
    <phoneticPr fontId="3" type="noConversion"/>
  </si>
  <si>
    <t>(ea)</t>
    <phoneticPr fontId="3" type="noConversion"/>
  </si>
  <si>
    <t>1월
(18)</t>
    <phoneticPr fontId="3" type="noConversion"/>
  </si>
  <si>
    <t>2월
(20)</t>
    <phoneticPr fontId="3" type="noConversion"/>
  </si>
  <si>
    <t>3월
(20)</t>
    <phoneticPr fontId="3" type="noConversion"/>
  </si>
  <si>
    <t>4월
(22)</t>
    <phoneticPr fontId="3" type="noConversion"/>
  </si>
  <si>
    <t>5월
(18)</t>
    <phoneticPr fontId="3" type="noConversion"/>
  </si>
  <si>
    <t>6월
(19)</t>
    <phoneticPr fontId="3" type="noConversion"/>
  </si>
  <si>
    <t>7월
(22)</t>
    <phoneticPr fontId="3" type="noConversion"/>
  </si>
  <si>
    <t>8월
(17)</t>
    <phoneticPr fontId="3" type="noConversion"/>
  </si>
  <si>
    <t>9월
(22)</t>
    <phoneticPr fontId="3" type="noConversion"/>
  </si>
  <si>
    <t>10월
(18)</t>
    <phoneticPr fontId="3" type="noConversion"/>
  </si>
  <si>
    <t>11월
(20)</t>
    <phoneticPr fontId="3" type="noConversion"/>
  </si>
  <si>
    <t>12월
(22)</t>
    <phoneticPr fontId="3" type="noConversion"/>
  </si>
  <si>
    <t>합계(238)</t>
    <phoneticPr fontId="3" type="noConversion"/>
  </si>
  <si>
    <t>2024년 생산량 집계표</t>
    <phoneticPr fontId="3" type="noConversion"/>
  </si>
  <si>
    <t>2025.01.03   금요일</t>
    <phoneticPr fontId="3" type="noConversion"/>
  </si>
  <si>
    <t>15000TON (연 45,790 TON)</t>
    <phoneticPr fontId="3" type="noConversion"/>
  </si>
  <si>
    <t>5000TON (연 24,100 TON)</t>
    <phoneticPr fontId="3" type="noConversion"/>
  </si>
  <si>
    <t>8000TON ( 연 황지 22,895 TON)</t>
    <phoneticPr fontId="3" type="noConversion"/>
  </si>
  <si>
    <t>￠9500 R/M (연 50,610 TON)</t>
    <phoneticPr fontId="3" type="noConversion"/>
  </si>
  <si>
    <t>TOTAL (연 120,500 TON)</t>
    <phoneticPr fontId="3" type="noConversion"/>
  </si>
  <si>
    <t>황지 (일일 95TON)</t>
    <phoneticPr fontId="3" type="noConversion"/>
  </si>
  <si>
    <t>제품(일일 210TON)</t>
    <phoneticPr fontId="3" type="noConversion"/>
  </si>
  <si>
    <t>제품(일일 500TON)</t>
    <phoneticPr fontId="3" type="noConversion"/>
  </si>
  <si>
    <t>1월
(22)</t>
    <phoneticPr fontId="3" type="noConversion"/>
  </si>
  <si>
    <t>2월
(19)</t>
    <phoneticPr fontId="3" type="noConversion"/>
  </si>
  <si>
    <t>4월
(21)</t>
    <phoneticPr fontId="3" type="noConversion"/>
  </si>
  <si>
    <t>5월
(19)</t>
    <phoneticPr fontId="3" type="noConversion"/>
  </si>
  <si>
    <t>7월
(23)</t>
    <phoneticPr fontId="3" type="noConversion"/>
  </si>
  <si>
    <t>9월
(18)</t>
    <phoneticPr fontId="3" type="noConversion"/>
  </si>
  <si>
    <t>10월
(20)</t>
    <phoneticPr fontId="3" type="noConversion"/>
  </si>
  <si>
    <t>11월
(21)</t>
    <phoneticPr fontId="3" type="noConversion"/>
  </si>
  <si>
    <t>12월
(21)</t>
    <phoneticPr fontId="3" type="noConversion"/>
  </si>
  <si>
    <t>합계(240)</t>
    <phoneticPr fontId="3" type="noConversion"/>
  </si>
  <si>
    <t>제품(일일 70TON)</t>
    <phoneticPr fontId="3" type="noConversion"/>
  </si>
  <si>
    <t>5000TON (월 1,470TON)</t>
    <phoneticPr fontId="3" type="noConversion"/>
  </si>
  <si>
    <t>제품(일일 200TON)</t>
    <phoneticPr fontId="3" type="noConversion"/>
  </si>
  <si>
    <t>제품(일일 415TON)</t>
    <phoneticPr fontId="3" type="noConversion"/>
  </si>
  <si>
    <t>TOTAL (월 8,715TON)</t>
    <phoneticPr fontId="3" type="noConversion"/>
  </si>
  <si>
    <t>제품(일일 145TON)</t>
    <phoneticPr fontId="3" type="noConversion"/>
  </si>
  <si>
    <t xml:space="preserve">15000TON (월 3,045TON) </t>
    <phoneticPr fontId="3" type="noConversion"/>
  </si>
  <si>
    <t>￠11000 R/M (월 4,200TON)</t>
    <phoneticPr fontId="3" type="noConversion"/>
  </si>
  <si>
    <t>2026.02.02    월요일</t>
    <phoneticPr fontId="3" type="noConversion"/>
  </si>
  <si>
    <t>Y</t>
    <phoneticPr fontId="3" type="noConversion"/>
  </si>
  <si>
    <t xml:space="preserve">15000TON (월 2,465TON) </t>
    <phoneticPr fontId="3" type="noConversion"/>
  </si>
  <si>
    <t>5000TON (월 1,190TON)</t>
    <phoneticPr fontId="3" type="noConversion"/>
  </si>
  <si>
    <t>￠11000 R/M (월 3,400TON)</t>
    <phoneticPr fontId="3" type="noConversion"/>
  </si>
  <si>
    <t>TOTAL (월 7,055TON)</t>
    <phoneticPr fontId="3" type="noConversion"/>
  </si>
  <si>
    <t>15000TON (연 35,090 TON)</t>
    <phoneticPr fontId="3" type="noConversion"/>
  </si>
  <si>
    <t>5000TON (연 16,940 TON)</t>
    <phoneticPr fontId="3" type="noConversion"/>
  </si>
  <si>
    <t>￠11,000 R/M (연 47,970 TON)</t>
    <phoneticPr fontId="3" type="noConversion"/>
  </si>
  <si>
    <t>제품(일일 200TON)</t>
    <phoneticPr fontId="3" type="noConversion"/>
  </si>
  <si>
    <t>제품(일일 415TON)</t>
    <phoneticPr fontId="3" type="noConversion"/>
  </si>
  <si>
    <t>TOTAL (연 100,000 TON)</t>
    <phoneticPr fontId="3" type="noConversion"/>
  </si>
  <si>
    <t>제품(일일 70TON)</t>
    <phoneticPr fontId="3" type="noConversion"/>
  </si>
  <si>
    <t>2026.03.03    화요일</t>
    <phoneticPr fontId="3" type="noConversion"/>
  </si>
  <si>
    <t>결
재</t>
    <phoneticPr fontId="3" type="noConversion"/>
  </si>
  <si>
    <t>2026.04.01     수요일</t>
    <phoneticPr fontId="3" type="noConversion"/>
  </si>
  <si>
    <t xml:space="preserve">15000TON (월 3,190TON) </t>
    <phoneticPr fontId="3" type="noConversion"/>
  </si>
  <si>
    <t>5000TON (월 1,540TON)</t>
    <phoneticPr fontId="3" type="noConversion"/>
  </si>
  <si>
    <t>￠11000 R/M (월 4,400TON)</t>
    <phoneticPr fontId="3" type="noConversion"/>
  </si>
  <si>
    <t>TOTAL (월 9,130TON)</t>
    <phoneticPr fontId="3" type="noConversion"/>
  </si>
  <si>
    <t xml:space="preserve"> </t>
    <phoneticPr fontId="3" type="noConversion"/>
  </si>
  <si>
    <t xml:space="preserve"> </t>
    <phoneticPr fontId="3" type="noConversion"/>
  </si>
  <si>
    <t xml:space="preserve">   </t>
    <phoneticPr fontId="3" type="noConversion"/>
  </si>
  <si>
    <t>2026.05.4   월요일</t>
    <phoneticPr fontId="3" type="noConversion"/>
  </si>
  <si>
    <t xml:space="preserve">15000TON (월 2,610TON) </t>
    <phoneticPr fontId="3" type="noConversion"/>
  </si>
  <si>
    <t>5000TON (월 1,260TON)</t>
    <phoneticPr fontId="3" type="noConversion"/>
  </si>
  <si>
    <t>￠11000 R/M (월 3,600TON)</t>
    <phoneticPr fontId="3" type="noConversion"/>
  </si>
  <si>
    <t>제품(일일 200TON)</t>
    <phoneticPr fontId="3" type="noConversion"/>
  </si>
  <si>
    <t>TOTAL (월 7,470TON)</t>
    <phoneticPr fontId="3" type="noConversion"/>
  </si>
  <si>
    <r>
      <rPr>
        <sz val="18"/>
        <rFont val="태웅고딕 EB"/>
        <family val="1"/>
        <charset val="129"/>
      </rPr>
      <t>작성일자</t>
    </r>
    <r>
      <rPr>
        <sz val="16"/>
        <rFont val="태웅고딕 EB"/>
        <family val="1"/>
        <charset val="129"/>
      </rPr>
      <t xml:space="preserve">
</t>
    </r>
    <r>
      <rPr>
        <sz val="14"/>
        <rFont val="태웅고딕 EB"/>
        <family val="1"/>
        <charset val="129"/>
      </rPr>
      <t>Issue Date</t>
    </r>
    <phoneticPr fontId="3" type="noConversion"/>
  </si>
  <si>
    <t>2026.06.01    월요일</t>
    <phoneticPr fontId="3" type="noConversion"/>
  </si>
  <si>
    <t xml:space="preserve">15000TON (월 3,045TON) </t>
    <phoneticPr fontId="3" type="noConversion"/>
  </si>
  <si>
    <t>￠11000 R/M (월 4,200TON)</t>
    <phoneticPr fontId="3" type="noConversion"/>
  </si>
  <si>
    <t>2026.06.09   화요일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</si>
</sst>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m&quot;/&quot;d;@"/>
    <numFmt numFmtId="177" formatCode="#,##0_);[Red]\(#,##0\)"/>
    <numFmt numFmtId="178" formatCode="#,##0_ "/>
    <numFmt numFmtId="179" formatCode="0;[Red]0"/>
    <numFmt numFmtId="180" formatCode="m&quot;₩&quot;/d"/>
    <numFmt numFmtId="181" formatCode="_ * #,##0_ ;_ * \-#,##0_ ;_ * &quot;-&quot;_ ;_ @_ "/>
    <numFmt numFmtId="182" formatCode="_ * #,##0.00_ ;_ * \-#,##0.00_ ;_ * &quot;-&quot;??_ ;_ @_ "/>
    <numFmt numFmtId="183" formatCode="0.0%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20"/>
      <name val="태웅고딕 EB"/>
      <family val="1"/>
      <charset val="129"/>
    </font>
    <font>
      <sz val="8"/>
      <name val="돋움"/>
      <family val="3"/>
      <charset val="129"/>
    </font>
    <font>
      <sz val="16"/>
      <name val="태웅고딕 EB"/>
      <family val="1"/>
      <charset val="129"/>
    </font>
    <font>
      <sz val="18"/>
      <name val="태웅고딕 EB"/>
      <family val="1"/>
      <charset val="129"/>
    </font>
    <font>
      <sz val="14"/>
      <name val="태웅고딕 EB"/>
      <family val="1"/>
      <charset val="129"/>
    </font>
    <font>
      <sz val="17"/>
      <name val="태웅고딕 EB"/>
      <family val="1"/>
      <charset val="129"/>
    </font>
    <font>
      <sz val="11"/>
      <name val="태웅고딕 EB"/>
      <family val="1"/>
      <charset val="129"/>
    </font>
    <font>
      <sz val="12"/>
      <name val="태웅고딕 EB"/>
      <family val="1"/>
      <charset val="129"/>
    </font>
    <font>
      <sz val="10"/>
      <name val="태웅고딕 EB"/>
      <family val="1"/>
      <charset val="129"/>
    </font>
    <font>
      <sz val="11"/>
      <color rgb="FFFF0000"/>
      <name val="태웅고딕 EB"/>
      <family val="1"/>
      <charset val="129"/>
    </font>
    <font>
      <sz val="8"/>
      <name val="태웅고딕 EB"/>
      <family val="1"/>
      <charset val="129"/>
    </font>
    <font>
      <b/>
      <sz val="12"/>
      <name val="Arial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5"/>
      <name val="태웅고딕 EB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 style="dotted">
        <color indexed="64"/>
      </right>
      <top style="double">
        <color indexed="64"/>
      </top>
      <bottom style="medium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dotted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79" applyNumberFormat="0" applyAlignment="0" applyProtection="0">
      <alignment horizontal="left" vertical="center"/>
    </xf>
    <xf numFmtId="0" fontId="13" fillId="0" borderId="13">
      <alignment horizontal="left" vertical="center"/>
    </xf>
    <xf numFmtId="0" fontId="14" fillId="0" borderId="0"/>
    <xf numFmtId="0" fontId="14" fillId="0" borderId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15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177" fontId="8" fillId="0" borderId="15" xfId="0" applyNumberFormat="1" applyFont="1" applyFill="1" applyBorder="1" applyAlignment="1">
      <alignment horizontal="center" vertical="center" wrapText="1"/>
    </xf>
    <xf numFmtId="177" fontId="8" fillId="6" borderId="16" xfId="0" applyNumberFormat="1" applyFont="1" applyFill="1" applyBorder="1" applyAlignment="1">
      <alignment horizontal="center" vertical="center" wrapText="1"/>
    </xf>
    <xf numFmtId="9" fontId="8" fillId="0" borderId="16" xfId="0" applyNumberFormat="1" applyFont="1" applyFill="1" applyBorder="1" applyAlignment="1">
      <alignment horizontal="center" vertical="center" wrapText="1"/>
    </xf>
    <xf numFmtId="177" fontId="8" fillId="4" borderId="16" xfId="0" applyNumberFormat="1" applyFont="1" applyFill="1" applyBorder="1" applyAlignment="1">
      <alignment horizontal="center" vertical="center" wrapText="1"/>
    </xf>
    <xf numFmtId="177" fontId="8" fillId="5" borderId="16" xfId="0" applyNumberFormat="1" applyFont="1" applyFill="1" applyBorder="1" applyAlignment="1">
      <alignment horizontal="center" vertical="center" wrapText="1"/>
    </xf>
    <xf numFmtId="177" fontId="8" fillId="5" borderId="21" xfId="0" applyNumberFormat="1" applyFont="1" applyFill="1" applyBorder="1" applyAlignment="1">
      <alignment horizontal="center" vertical="center" wrapText="1"/>
    </xf>
    <xf numFmtId="177" fontId="8" fillId="0" borderId="20" xfId="0" applyNumberFormat="1" applyFont="1" applyFill="1" applyBorder="1" applyAlignment="1">
      <alignment horizontal="center" vertical="center" wrapText="1"/>
    </xf>
    <xf numFmtId="177" fontId="8" fillId="4" borderId="41" xfId="0" applyNumberFormat="1" applyFont="1" applyFill="1" applyBorder="1" applyAlignment="1">
      <alignment horizontal="center" vertical="center" wrapText="1"/>
    </xf>
    <xf numFmtId="177" fontId="8" fillId="4" borderId="15" xfId="0" applyNumberFormat="1" applyFont="1" applyFill="1" applyBorder="1" applyAlignment="1">
      <alignment horizontal="center" vertical="center" wrapText="1"/>
    </xf>
    <xf numFmtId="177" fontId="8" fillId="4" borderId="21" xfId="0" applyNumberFormat="1" applyFont="1" applyFill="1" applyBorder="1" applyAlignment="1">
      <alignment horizontal="center" vertical="center" wrapText="1"/>
    </xf>
    <xf numFmtId="177" fontId="8" fillId="5" borderId="43" xfId="0" applyNumberFormat="1" applyFont="1" applyFill="1" applyBorder="1" applyAlignment="1">
      <alignment horizontal="center" vertical="center" wrapText="1"/>
    </xf>
    <xf numFmtId="177" fontId="8" fillId="5" borderId="44" xfId="0" applyNumberFormat="1" applyFont="1" applyFill="1" applyBorder="1" applyAlignment="1">
      <alignment horizontal="center" vertical="center" wrapText="1"/>
    </xf>
    <xf numFmtId="177" fontId="8" fillId="5" borderId="45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176" fontId="11" fillId="0" borderId="47" xfId="0" applyNumberFormat="1" applyFont="1" applyFill="1" applyBorder="1" applyAlignment="1">
      <alignment horizontal="center" vertical="center" wrapText="1"/>
    </xf>
    <xf numFmtId="177" fontId="8" fillId="0" borderId="48" xfId="0" applyNumberFormat="1" applyFont="1" applyFill="1" applyBorder="1" applyAlignment="1">
      <alignment horizontal="center" vertical="center" wrapText="1"/>
    </xf>
    <xf numFmtId="177" fontId="8" fillId="6" borderId="49" xfId="0" applyNumberFormat="1" applyFont="1" applyFill="1" applyBorder="1" applyAlignment="1">
      <alignment horizontal="center" vertical="center" wrapText="1"/>
    </xf>
    <xf numFmtId="9" fontId="8" fillId="0" borderId="49" xfId="0" applyNumberFormat="1" applyFont="1" applyFill="1" applyBorder="1" applyAlignment="1" applyProtection="1">
      <alignment horizontal="center" vertical="center" wrapText="1"/>
      <protection hidden="1"/>
    </xf>
    <xf numFmtId="177" fontId="8" fillId="0" borderId="49" xfId="0" applyNumberFormat="1" applyFont="1" applyFill="1" applyBorder="1" applyAlignment="1">
      <alignment horizontal="center" vertical="center" wrapText="1"/>
    </xf>
    <xf numFmtId="177" fontId="8" fillId="3" borderId="49" xfId="0" applyNumberFormat="1" applyFont="1" applyFill="1" applyBorder="1" applyAlignment="1">
      <alignment horizontal="center" vertical="center" wrapText="1"/>
    </xf>
    <xf numFmtId="177" fontId="8" fillId="0" borderId="50" xfId="0" applyNumberFormat="1" applyFont="1" applyFill="1" applyBorder="1" applyAlignment="1">
      <alignment horizontal="center" vertical="center" wrapText="1"/>
    </xf>
    <xf numFmtId="177" fontId="8" fillId="4" borderId="51" xfId="0" applyNumberFormat="1" applyFont="1" applyFill="1" applyBorder="1" applyAlignment="1">
      <alignment horizontal="center" vertical="center" wrapText="1"/>
    </xf>
    <xf numFmtId="177" fontId="8" fillId="4" borderId="52" xfId="0" applyNumberFormat="1" applyFont="1" applyFill="1" applyBorder="1" applyAlignment="1">
      <alignment horizontal="center" vertical="center" wrapText="1"/>
    </xf>
    <xf numFmtId="177" fontId="8" fillId="4" borderId="53" xfId="0" applyNumberFormat="1" applyFont="1" applyFill="1" applyBorder="1" applyAlignment="1">
      <alignment horizontal="center" vertical="center" wrapText="1"/>
    </xf>
    <xf numFmtId="177" fontId="8" fillId="4" borderId="54" xfId="0" applyNumberFormat="1" applyFont="1" applyFill="1" applyBorder="1" applyAlignment="1">
      <alignment horizontal="center" vertical="center" wrapText="1"/>
    </xf>
    <xf numFmtId="177" fontId="8" fillId="5" borderId="55" xfId="0" applyNumberFormat="1" applyFont="1" applyFill="1" applyBorder="1" applyAlignment="1">
      <alignment horizontal="center" vertical="center" wrapText="1"/>
    </xf>
    <xf numFmtId="177" fontId="8" fillId="5" borderId="49" xfId="0" applyNumberFormat="1" applyFont="1" applyFill="1" applyBorder="1" applyAlignment="1">
      <alignment horizontal="center" vertical="center" wrapText="1"/>
    </xf>
    <xf numFmtId="177" fontId="8" fillId="5" borderId="50" xfId="0" applyNumberFormat="1" applyFont="1" applyFill="1" applyBorder="1" applyAlignment="1">
      <alignment horizontal="center" vertical="center" wrapText="1"/>
    </xf>
    <xf numFmtId="177" fontId="8" fillId="0" borderId="55" xfId="0" applyNumberFormat="1" applyFont="1" applyFill="1" applyBorder="1" applyAlignment="1">
      <alignment horizontal="center" vertical="center" wrapText="1"/>
    </xf>
    <xf numFmtId="9" fontId="8" fillId="0" borderId="49" xfId="0" applyNumberFormat="1" applyFont="1" applyFill="1" applyBorder="1" applyAlignment="1">
      <alignment horizontal="center" vertical="center" wrapText="1"/>
    </xf>
    <xf numFmtId="177" fontId="8" fillId="0" borderId="56" xfId="0" applyNumberFormat="1" applyFont="1" applyFill="1" applyBorder="1" applyAlignment="1">
      <alignment horizontal="center" vertical="center" wrapText="1"/>
    </xf>
    <xf numFmtId="177" fontId="8" fillId="4" borderId="57" xfId="0" applyNumberFormat="1" applyFont="1" applyFill="1" applyBorder="1" applyAlignment="1">
      <alignment horizontal="center" vertical="center" wrapText="1"/>
    </xf>
    <xf numFmtId="177" fontId="8" fillId="5" borderId="58" xfId="0" applyNumberFormat="1" applyFont="1" applyFill="1" applyBorder="1" applyAlignment="1">
      <alignment horizontal="center" vertical="center" wrapText="1"/>
    </xf>
    <xf numFmtId="177" fontId="8" fillId="0" borderId="59" xfId="0" applyNumberFormat="1" applyFont="1" applyFill="1" applyBorder="1" applyAlignment="1">
      <alignment horizontal="center" vertical="center" wrapText="1"/>
    </xf>
    <xf numFmtId="177" fontId="8" fillId="4" borderId="60" xfId="0" applyNumberFormat="1" applyFont="1" applyFill="1" applyBorder="1" applyAlignment="1">
      <alignment horizontal="center" vertical="center" wrapText="1"/>
    </xf>
    <xf numFmtId="177" fontId="8" fillId="4" borderId="37" xfId="0" applyNumberFormat="1" applyFont="1" applyFill="1" applyBorder="1" applyAlignment="1">
      <alignment horizontal="center" vertical="center" wrapText="1"/>
    </xf>
    <xf numFmtId="177" fontId="8" fillId="5" borderId="51" xfId="0" applyNumberFormat="1" applyFont="1" applyFill="1" applyBorder="1" applyAlignment="1">
      <alignment horizontal="center" vertical="center" wrapText="1"/>
    </xf>
    <xf numFmtId="177" fontId="8" fillId="5" borderId="52" xfId="0" applyNumberFormat="1" applyFont="1" applyFill="1" applyBorder="1" applyAlignment="1">
      <alignment horizontal="center" vertical="center" wrapText="1"/>
    </xf>
    <xf numFmtId="177" fontId="8" fillId="5" borderId="60" xfId="0" applyNumberFormat="1" applyFont="1" applyFill="1" applyBorder="1" applyAlignment="1">
      <alignment horizontal="center" vertical="center" wrapText="1"/>
    </xf>
    <xf numFmtId="178" fontId="10" fillId="2" borderId="61" xfId="0" applyNumberFormat="1" applyFont="1" applyFill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176" fontId="8" fillId="0" borderId="47" xfId="0" applyNumberFormat="1" applyFont="1" applyFill="1" applyBorder="1" applyAlignment="1">
      <alignment horizontal="center" vertical="center" wrapText="1"/>
    </xf>
    <xf numFmtId="176" fontId="8" fillId="0" borderId="63" xfId="0" applyNumberFormat="1" applyFont="1" applyFill="1" applyBorder="1" applyAlignment="1">
      <alignment horizontal="center" vertical="center" wrapText="1"/>
    </xf>
    <xf numFmtId="177" fontId="8" fillId="0" borderId="64" xfId="0" applyNumberFormat="1" applyFont="1" applyFill="1" applyBorder="1" applyAlignment="1">
      <alignment horizontal="center" vertical="center" wrapText="1"/>
    </xf>
    <xf numFmtId="177" fontId="8" fillId="6" borderId="65" xfId="0" applyNumberFormat="1" applyFont="1" applyFill="1" applyBorder="1" applyAlignment="1">
      <alignment horizontal="center" vertical="center" wrapText="1"/>
    </xf>
    <xf numFmtId="9" fontId="8" fillId="0" borderId="66" xfId="0" applyNumberFormat="1" applyFont="1" applyFill="1" applyBorder="1" applyAlignment="1">
      <alignment horizontal="center" vertical="center" wrapText="1"/>
    </xf>
    <xf numFmtId="177" fontId="8" fillId="0" borderId="65" xfId="0" applyNumberFormat="1" applyFont="1" applyFill="1" applyBorder="1" applyAlignment="1">
      <alignment horizontal="center" vertical="center" wrapText="1"/>
    </xf>
    <xf numFmtId="177" fontId="8" fillId="3" borderId="65" xfId="0" applyNumberFormat="1" applyFont="1" applyFill="1" applyBorder="1" applyAlignment="1">
      <alignment horizontal="center" vertical="center" wrapText="1"/>
    </xf>
    <xf numFmtId="177" fontId="8" fillId="0" borderId="67" xfId="0" applyNumberFormat="1" applyFont="1" applyFill="1" applyBorder="1" applyAlignment="1">
      <alignment horizontal="center" vertical="center" wrapText="1"/>
    </xf>
    <xf numFmtId="177" fontId="8" fillId="4" borderId="68" xfId="0" applyNumberFormat="1" applyFont="1" applyFill="1" applyBorder="1" applyAlignment="1">
      <alignment horizontal="center" vertical="center" wrapText="1"/>
    </xf>
    <xf numFmtId="177" fontId="8" fillId="4" borderId="69" xfId="0" applyNumberFormat="1" applyFont="1" applyFill="1" applyBorder="1" applyAlignment="1">
      <alignment horizontal="center" vertical="center" wrapText="1"/>
    </xf>
    <xf numFmtId="177" fontId="8" fillId="5" borderId="70" xfId="0" applyNumberFormat="1" applyFont="1" applyFill="1" applyBorder="1" applyAlignment="1">
      <alignment horizontal="center" vertical="center" wrapText="1"/>
    </xf>
    <xf numFmtId="177" fontId="8" fillId="5" borderId="67" xfId="0" applyNumberFormat="1" applyFont="1" applyFill="1" applyBorder="1" applyAlignment="1">
      <alignment horizontal="center" vertical="center" wrapText="1"/>
    </xf>
    <xf numFmtId="177" fontId="8" fillId="0" borderId="71" xfId="0" applyNumberFormat="1" applyFont="1" applyFill="1" applyBorder="1" applyAlignment="1">
      <alignment horizontal="center" vertical="center" wrapText="1"/>
    </xf>
    <xf numFmtId="177" fontId="8" fillId="0" borderId="72" xfId="0" applyNumberFormat="1" applyFont="1" applyFill="1" applyBorder="1" applyAlignment="1">
      <alignment horizontal="center" vertical="center" wrapText="1"/>
    </xf>
    <xf numFmtId="177" fontId="8" fillId="5" borderId="66" xfId="0" applyNumberFormat="1" applyFont="1" applyFill="1" applyBorder="1" applyAlignment="1">
      <alignment horizontal="center" vertical="center" wrapText="1"/>
    </xf>
    <xf numFmtId="177" fontId="8" fillId="5" borderId="73" xfId="0" applyNumberFormat="1" applyFont="1" applyFill="1" applyBorder="1" applyAlignment="1">
      <alignment horizontal="center" vertical="center" wrapText="1"/>
    </xf>
    <xf numFmtId="177" fontId="8" fillId="0" borderId="74" xfId="0" applyNumberFormat="1" applyFont="1" applyFill="1" applyBorder="1" applyAlignment="1">
      <alignment horizontal="center" vertical="center" wrapText="1"/>
    </xf>
    <xf numFmtId="177" fontId="8" fillId="5" borderId="75" xfId="0" applyNumberFormat="1" applyFont="1" applyFill="1" applyBorder="1" applyAlignment="1">
      <alignment horizontal="center" vertical="center" wrapText="1"/>
    </xf>
    <xf numFmtId="177" fontId="8" fillId="0" borderId="76" xfId="0" applyNumberFormat="1" applyFont="1" applyFill="1" applyBorder="1" applyAlignment="1">
      <alignment horizontal="center" vertical="center" wrapText="1"/>
    </xf>
    <xf numFmtId="177" fontId="8" fillId="0" borderId="77" xfId="0" applyNumberFormat="1" applyFont="1" applyFill="1" applyBorder="1" applyAlignment="1">
      <alignment horizontal="center" vertical="center" wrapText="1"/>
    </xf>
    <xf numFmtId="177" fontId="8" fillId="4" borderId="73" xfId="0" applyNumberFormat="1" applyFont="1" applyFill="1" applyBorder="1" applyAlignment="1">
      <alignment horizontal="center" vertical="center" wrapText="1"/>
    </xf>
    <xf numFmtId="177" fontId="8" fillId="5" borderId="74" xfId="0" applyNumberFormat="1" applyFont="1" applyFill="1" applyBorder="1" applyAlignment="1">
      <alignment horizontal="center" vertical="center" wrapText="1"/>
    </xf>
    <xf numFmtId="177" fontId="8" fillId="5" borderId="65" xfId="0" applyNumberFormat="1" applyFont="1" applyFill="1" applyBorder="1" applyAlignment="1">
      <alignment horizontal="center" vertical="center" wrapText="1"/>
    </xf>
    <xf numFmtId="177" fontId="8" fillId="2" borderId="7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1" fontId="12" fillId="0" borderId="0" xfId="1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7" borderId="0" xfId="0" applyNumberFormat="1" applyFont="1" applyFill="1" applyAlignment="1">
      <alignment horizontal="center" vertical="center"/>
    </xf>
    <xf numFmtId="178" fontId="8" fillId="7" borderId="39" xfId="0" applyNumberFormat="1" applyFont="1" applyFill="1" applyBorder="1" applyAlignment="1">
      <alignment horizontal="center" vertical="center"/>
    </xf>
    <xf numFmtId="178" fontId="8" fillId="7" borderId="0" xfId="0" applyNumberFormat="1" applyFont="1" applyFill="1" applyBorder="1" applyAlignment="1">
      <alignment horizontal="center" vertical="center"/>
    </xf>
    <xf numFmtId="178" fontId="8" fillId="7" borderId="62" xfId="0" applyNumberFormat="1" applyFont="1" applyFill="1" applyBorder="1" applyAlignment="1">
      <alignment horizontal="center" vertical="center"/>
    </xf>
    <xf numFmtId="177" fontId="10" fillId="0" borderId="62" xfId="0" applyNumberFormat="1" applyFont="1" applyBorder="1" applyAlignment="1">
      <alignment horizontal="center" vertical="center"/>
    </xf>
    <xf numFmtId="41" fontId="10" fillId="0" borderId="62" xfId="1" applyFont="1" applyBorder="1" applyAlignment="1">
      <alignment horizontal="center" vertical="center"/>
    </xf>
    <xf numFmtId="41" fontId="10" fillId="0" borderId="62" xfId="0" applyNumberFormat="1" applyFont="1" applyBorder="1" applyAlignment="1">
      <alignment horizontal="center" vertical="center"/>
    </xf>
    <xf numFmtId="177" fontId="8" fillId="5" borderId="56" xfId="0" applyNumberFormat="1" applyFont="1" applyFill="1" applyBorder="1" applyAlignment="1">
      <alignment horizontal="center" vertical="center" wrapText="1"/>
    </xf>
    <xf numFmtId="177" fontId="8" fillId="6" borderId="55" xfId="0" applyNumberFormat="1" applyFont="1" applyFill="1" applyBorder="1" applyAlignment="1">
      <alignment horizontal="center" vertical="center" wrapText="1"/>
    </xf>
    <xf numFmtId="183" fontId="8" fillId="0" borderId="49" xfId="0" applyNumberFormat="1" applyFont="1" applyFill="1" applyBorder="1" applyAlignment="1">
      <alignment horizontal="center" vertical="center" wrapText="1"/>
    </xf>
    <xf numFmtId="183" fontId="8" fillId="0" borderId="66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77" fontId="8" fillId="5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6" fontId="8" fillId="0" borderId="22" xfId="0" applyNumberFormat="1" applyFont="1" applyFill="1" applyBorder="1" applyAlignment="1">
      <alignment horizontal="center" vertical="center" wrapText="1"/>
    </xf>
    <xf numFmtId="176" fontId="8" fillId="0" borderId="34" xfId="0" applyNumberFormat="1" applyFont="1" applyFill="1" applyBorder="1" applyAlignment="1">
      <alignment horizontal="center" vertical="center" wrapText="1"/>
    </xf>
    <xf numFmtId="176" fontId="8" fillId="0" borderId="40" xfId="0" applyNumberFormat="1" applyFont="1" applyFill="1" applyBorder="1" applyAlignment="1">
      <alignment horizontal="center" vertical="center" wrapText="1"/>
    </xf>
    <xf numFmtId="177" fontId="8" fillId="0" borderId="23" xfId="0" applyNumberFormat="1" applyFont="1" applyFill="1" applyBorder="1" applyAlignment="1">
      <alignment horizontal="center" vertical="center" wrapText="1"/>
    </xf>
    <xf numFmtId="177" fontId="8" fillId="0" borderId="24" xfId="0" applyNumberFormat="1" applyFont="1" applyFill="1" applyBorder="1" applyAlignment="1">
      <alignment horizontal="center" vertical="center" wrapText="1"/>
    </xf>
    <xf numFmtId="177" fontId="8" fillId="0" borderId="25" xfId="0" applyNumberFormat="1" applyFont="1" applyFill="1" applyBorder="1" applyAlignment="1">
      <alignment horizontal="center" vertical="center" wrapText="1"/>
    </xf>
    <xf numFmtId="177" fontId="8" fillId="0" borderId="7" xfId="0" applyNumberFormat="1" applyFont="1" applyFill="1" applyBorder="1" applyAlignment="1">
      <alignment horizontal="center" vertical="center" wrapText="1"/>
    </xf>
    <xf numFmtId="177" fontId="8" fillId="0" borderId="8" xfId="0" applyNumberFormat="1" applyFont="1" applyFill="1" applyBorder="1" applyAlignment="1">
      <alignment horizontal="center" vertical="center" wrapText="1"/>
    </xf>
    <xf numFmtId="177" fontId="8" fillId="0" borderId="16" xfId="0" applyNumberFormat="1" applyFont="1" applyFill="1" applyBorder="1" applyAlignment="1">
      <alignment horizontal="center" vertical="center" wrapText="1"/>
    </xf>
    <xf numFmtId="177" fontId="8" fillId="3" borderId="8" xfId="0" applyNumberFormat="1" applyFont="1" applyFill="1" applyBorder="1" applyAlignment="1">
      <alignment horizontal="center" vertical="center" wrapText="1"/>
    </xf>
    <xf numFmtId="177" fontId="8" fillId="3" borderId="16" xfId="0" applyNumberFormat="1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177" fontId="8" fillId="4" borderId="14" xfId="0" applyNumberFormat="1" applyFont="1" applyFill="1" applyBorder="1" applyAlignment="1">
      <alignment horizontal="center" vertical="center" wrapText="1"/>
    </xf>
    <xf numFmtId="177" fontId="8" fillId="4" borderId="8" xfId="0" applyNumberFormat="1" applyFont="1" applyFill="1" applyBorder="1" applyAlignment="1">
      <alignment horizontal="center" vertical="center" wrapText="1"/>
    </xf>
    <xf numFmtId="177" fontId="8" fillId="5" borderId="8" xfId="0" applyNumberFormat="1" applyFont="1" applyFill="1" applyBorder="1" applyAlignment="1">
      <alignment horizontal="center" vertical="center" wrapText="1"/>
    </xf>
    <xf numFmtId="177" fontId="8" fillId="5" borderId="11" xfId="0" applyNumberFormat="1" applyFont="1" applyFill="1" applyBorder="1" applyAlignment="1">
      <alignment horizontal="center" vertical="center" wrapText="1"/>
    </xf>
    <xf numFmtId="177" fontId="8" fillId="0" borderId="12" xfId="0" applyNumberFormat="1" applyFont="1" applyFill="1" applyBorder="1" applyAlignment="1">
      <alignment horizontal="center" vertical="center" wrapText="1"/>
    </xf>
    <xf numFmtId="177" fontId="8" fillId="0" borderId="42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177" fontId="8" fillId="4" borderId="6" xfId="0" applyNumberFormat="1" applyFont="1" applyFill="1" applyBorder="1" applyAlignment="1">
      <alignment horizontal="center" vertical="center" wrapText="1"/>
    </xf>
    <xf numFmtId="177" fontId="8" fillId="0" borderId="26" xfId="0" applyNumberFormat="1" applyFont="1" applyFill="1" applyBorder="1" applyAlignment="1">
      <alignment horizontal="center" vertical="center" wrapText="1"/>
    </xf>
    <xf numFmtId="177" fontId="8" fillId="0" borderId="27" xfId="0" applyNumberFormat="1" applyFont="1" applyFill="1" applyBorder="1" applyAlignment="1">
      <alignment horizontal="center" vertical="center" wrapText="1"/>
    </xf>
    <xf numFmtId="177" fontId="8" fillId="0" borderId="28" xfId="0" applyNumberFormat="1" applyFont="1" applyFill="1" applyBorder="1" applyAlignment="1">
      <alignment horizontal="center" vertical="center" wrapText="1"/>
    </xf>
    <xf numFmtId="177" fontId="8" fillId="0" borderId="0" xfId="0" applyNumberFormat="1" applyFont="1" applyFill="1" applyBorder="1" applyAlignment="1">
      <alignment horizontal="center" vertical="center" wrapText="1"/>
    </xf>
    <xf numFmtId="177" fontId="8" fillId="0" borderId="29" xfId="0" applyNumberFormat="1" applyFont="1" applyFill="1" applyBorder="1" applyAlignment="1">
      <alignment horizontal="center" vertical="center" wrapText="1"/>
    </xf>
    <xf numFmtId="177" fontId="8" fillId="0" borderId="30" xfId="0" applyNumberFormat="1" applyFont="1" applyFill="1" applyBorder="1" applyAlignment="1">
      <alignment horizontal="center" vertical="center" wrapText="1"/>
    </xf>
    <xf numFmtId="177" fontId="8" fillId="0" borderId="31" xfId="0" applyNumberFormat="1" applyFont="1" applyFill="1" applyBorder="1" applyAlignment="1">
      <alignment horizontal="center" vertical="center" wrapText="1"/>
    </xf>
    <xf numFmtId="177" fontId="8" fillId="0" borderId="32" xfId="0" applyNumberFormat="1" applyFont="1" applyFill="1" applyBorder="1" applyAlignment="1">
      <alignment horizontal="center" vertical="center" wrapText="1"/>
    </xf>
    <xf numFmtId="177" fontId="8" fillId="5" borderId="35" xfId="0" applyNumberFormat="1" applyFont="1" applyFill="1" applyBorder="1" applyAlignment="1">
      <alignment horizontal="center" vertical="center" wrapText="1"/>
    </xf>
    <xf numFmtId="177" fontId="8" fillId="5" borderId="36" xfId="0" applyNumberFormat="1" applyFont="1" applyFill="1" applyBorder="1" applyAlignment="1">
      <alignment horizontal="center" vertical="center" wrapText="1"/>
    </xf>
    <xf numFmtId="177" fontId="8" fillId="5" borderId="37" xfId="0" applyNumberFormat="1" applyFont="1" applyFill="1" applyBorder="1" applyAlignment="1">
      <alignment horizontal="center" vertical="center" wrapText="1"/>
    </xf>
    <xf numFmtId="177" fontId="8" fillId="0" borderId="11" xfId="0" applyNumberFormat="1" applyFont="1" applyFill="1" applyBorder="1" applyAlignment="1">
      <alignment horizontal="center" vertical="center" wrapText="1"/>
    </xf>
    <xf numFmtId="177" fontId="8" fillId="0" borderId="21" xfId="0" applyNumberFormat="1" applyFont="1" applyFill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77" fontId="8" fillId="0" borderId="13" xfId="0" applyNumberFormat="1" applyFont="1" applyFill="1" applyBorder="1" applyAlignment="1">
      <alignment horizontal="center" vertical="center" wrapText="1"/>
    </xf>
    <xf numFmtId="177" fontId="8" fillId="0" borderId="14" xfId="0" applyNumberFormat="1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/>
    </xf>
  </cellXfs>
  <cellStyles count="11">
    <cellStyle name="Header1" xfId="2"/>
    <cellStyle name="Header2" xfId="3"/>
    <cellStyle name="Normal_#26-PSS Rev and Drivers " xfId="4"/>
    <cellStyle name="Обычный_tally" xfId="5"/>
    <cellStyle name="쉼표 [0]" xfId="1" builtinId="6"/>
    <cellStyle name="스타일 1" xfId="6"/>
    <cellStyle name="스타일 2" xfId="7"/>
    <cellStyle name="스타일 3" xfId="8"/>
    <cellStyle name="콤마 [0]_95" xfId="9"/>
    <cellStyle name="콤마_95" xf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585107</xdr:colOff>
      <xdr:row>0</xdr:row>
      <xdr:rowOff>54429</xdr:rowOff>
    </xdr:from>
    <xdr:to>
      <xdr:col>4</xdr:col>
      <xdr:colOff>1200</xdr:colOff>
      <xdr:row>4</xdr:row>
      <xdr:rowOff>1601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07" y="54429"/>
          <a:ext cx="2626179" cy="1469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585107</xdr:colOff>
      <xdr:row>0</xdr:row>
      <xdr:rowOff>54430</xdr:rowOff>
    </xdr:from>
    <xdr:to>
      <xdr:col>3</xdr:col>
      <xdr:colOff>811627</xdr:colOff>
      <xdr:row>4</xdr:row>
      <xdr:rowOff>37001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07" y="54430"/>
          <a:ext cx="2642187" cy="1499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585108</xdr:colOff>
      <xdr:row>0</xdr:row>
      <xdr:rowOff>54429</xdr:rowOff>
    </xdr:from>
    <xdr:to>
      <xdr:col>4</xdr:col>
      <xdr:colOff>11206</xdr:colOff>
      <xdr:row>4</xdr:row>
      <xdr:rowOff>8002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08" y="54429"/>
          <a:ext cx="2664598" cy="1515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58431</xdr:colOff>
      <xdr:row>0</xdr:row>
      <xdr:rowOff>54429</xdr:rowOff>
    </xdr:from>
    <xdr:to>
      <xdr:col>3</xdr:col>
      <xdr:colOff>826041</xdr:colOff>
      <xdr:row>4</xdr:row>
      <xdr:rowOff>32766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549" y="54429"/>
          <a:ext cx="2552539" cy="1467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58432</xdr:colOff>
      <xdr:row>0</xdr:row>
      <xdr:rowOff>54429</xdr:rowOff>
    </xdr:from>
    <xdr:to>
      <xdr:col>3</xdr:col>
      <xdr:colOff>774825</xdr:colOff>
      <xdr:row>4</xdr:row>
      <xdr:rowOff>141716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550" y="54429"/>
          <a:ext cx="2518922" cy="1500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58431</xdr:colOff>
      <xdr:row>0</xdr:row>
      <xdr:rowOff>54429</xdr:rowOff>
    </xdr:from>
    <xdr:to>
      <xdr:col>3</xdr:col>
      <xdr:colOff>836449</xdr:colOff>
      <xdr:row>4</xdr:row>
      <xdr:rowOff>81188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506" y="54429"/>
          <a:ext cx="2539260" cy="1540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12702</xdr:colOff>
      <xdr:row>0</xdr:row>
      <xdr:rowOff>333375</xdr:rowOff>
    </xdr:from>
    <xdr:to>
      <xdr:col>2</xdr:col>
      <xdr:colOff>0</xdr:colOff>
      <xdr:row>2</xdr:row>
      <xdr:rowOff>297656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7" y="333375"/>
          <a:ext cx="958848" cy="516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19506</xdr:colOff>
      <xdr:row>0</xdr:row>
      <xdr:rowOff>54430</xdr:rowOff>
    </xdr:from>
    <xdr:to>
      <xdr:col>4</xdr:col>
      <xdr:colOff>28647</xdr:colOff>
      <xdr:row>3</xdr:row>
      <xdr:rowOff>421823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220" y="54430"/>
          <a:ext cx="1641998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60325</xdr:colOff>
      <xdr:row>0</xdr:row>
      <xdr:rowOff>0</xdr:rowOff>
    </xdr:from>
    <xdr:to>
      <xdr:col>3</xdr:col>
      <xdr:colOff>595311</xdr:colOff>
      <xdr:row>3</xdr:row>
      <xdr:rowOff>477167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638" y="0"/>
          <a:ext cx="2392361" cy="1524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8.bin"/><Relationship Id="rId3" Type="http://schemas.openxmlformats.org/officeDocument/2006/relationships/printerSettings" Target="../printerSettings/printerSettings33.bin"/><Relationship Id="rId7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35.bin"/><Relationship Id="rId10" Type="http://schemas.openxmlformats.org/officeDocument/2006/relationships/drawing" Target="../drawings/drawing7.xml"/><Relationship Id="rId4" Type="http://schemas.openxmlformats.org/officeDocument/2006/relationships/printerSettings" Target="../printerSettings/printerSettings34.bin"/><Relationship Id="rId9" Type="http://schemas.openxmlformats.org/officeDocument/2006/relationships/printerSettings" Target="../printerSettings/printerSettings3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.bin"/><Relationship Id="rId3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6" Type="http://schemas.openxmlformats.org/officeDocument/2006/relationships/printerSettings" Target="../printerSettings/printerSettings45.bin"/><Relationship Id="rId5" Type="http://schemas.openxmlformats.org/officeDocument/2006/relationships/printerSettings" Target="../printerSettings/printerSettings44.bin"/><Relationship Id="rId10" Type="http://schemas.openxmlformats.org/officeDocument/2006/relationships/drawing" Target="../drawings/drawing8.xml"/><Relationship Id="rId4" Type="http://schemas.openxmlformats.org/officeDocument/2006/relationships/printerSettings" Target="../printerSettings/printerSettings43.bin"/><Relationship Id="rId9" Type="http://schemas.openxmlformats.org/officeDocument/2006/relationships/printerSettings" Target="../printerSettings/printerSettings4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53.bin"/><Relationship Id="rId4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E46"/>
  <sheetViews>
    <sheetView showRuler="0" zoomScale="70" zoomScaleNormal="70" zoomScaleSheetLayoutView="70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U20" sqref="U20"/>
    </sheetView>
  </sheetViews>
  <sheetFormatPr defaultRowHeight="15" x14ac:dyDescent="0.15"/>
  <cols>
    <col min="1" max="1" width="7" style="77" customWidth="1"/>
    <col min="2" max="3" width="10.33203125" style="77" customWidth="1"/>
    <col min="4" max="4" width="10.109375" style="77" customWidth="1"/>
    <col min="5" max="5" width="9.88671875" style="77" customWidth="1"/>
    <col min="6" max="6" width="9.88671875" style="77" hidden="1" customWidth="1"/>
    <col min="7" max="7" width="10.21875" style="77" customWidth="1"/>
    <col min="8" max="8" width="10.33203125" style="79" hidden="1" customWidth="1"/>
    <col min="9" max="9" width="10" style="79" hidden="1" customWidth="1"/>
    <col min="10" max="10" width="10.33203125" style="79" hidden="1" customWidth="1"/>
    <col min="11" max="11" width="10" style="79" hidden="1" customWidth="1"/>
    <col min="12" max="15" width="10.33203125" style="80" hidden="1" customWidth="1"/>
    <col min="16" max="16" width="10.33203125" style="77" customWidth="1"/>
    <col min="17" max="17" width="10.33203125" style="81" customWidth="1"/>
    <col min="18" max="19" width="10.109375" style="77" customWidth="1"/>
    <col min="20" max="20" width="9.88671875" style="82" hidden="1" customWidth="1"/>
    <col min="21" max="21" width="10.21875" style="77" customWidth="1"/>
    <col min="22" max="22" width="10.33203125" style="79" hidden="1" customWidth="1"/>
    <col min="23" max="23" width="10" style="79" hidden="1" customWidth="1"/>
    <col min="24" max="24" width="10.33203125" style="79" hidden="1" customWidth="1"/>
    <col min="25" max="25" width="10" style="79" hidden="1" customWidth="1"/>
    <col min="26" max="29" width="10.33203125" style="80" hidden="1" customWidth="1"/>
    <col min="30" max="30" width="11.109375" style="77" customWidth="1"/>
    <col min="31" max="31" width="10.33203125" style="81" customWidth="1"/>
    <col min="32" max="32" width="10.109375" style="77" customWidth="1"/>
    <col min="33" max="33" width="10.33203125" style="77" customWidth="1"/>
    <col min="34" max="34" width="10.33203125" style="79" hidden="1" customWidth="1"/>
    <col min="35" max="35" width="10" style="79" hidden="1" customWidth="1"/>
    <col min="36" max="36" width="10.33203125" style="79" hidden="1" customWidth="1"/>
    <col min="37" max="37" width="10" style="79" hidden="1" customWidth="1"/>
    <col min="38" max="41" width="10.33203125" style="80" hidden="1" customWidth="1"/>
    <col min="42" max="42" width="11.6640625" style="77" customWidth="1"/>
    <col min="43" max="43" width="10.88671875" style="81" customWidth="1"/>
    <col min="44" max="44" width="9.33203125" style="77" customWidth="1"/>
    <col min="45" max="45" width="10.33203125" style="77" customWidth="1"/>
    <col min="46" max="46" width="10.33203125" style="83" customWidth="1"/>
    <col min="47" max="47" width="11.33203125" style="77" customWidth="1"/>
    <col min="48" max="48" width="10.33203125" style="79" hidden="1" customWidth="1"/>
    <col min="49" max="49" width="10" style="79" hidden="1" customWidth="1"/>
    <col min="50" max="50" width="10.33203125" style="79" customWidth="1"/>
    <col min="51" max="51" width="10" style="79" customWidth="1"/>
    <col min="52" max="54" width="10.33203125" style="84" hidden="1" customWidth="1"/>
    <col min="55" max="55" width="11.21875" style="84" hidden="1" customWidth="1"/>
    <col min="56" max="56" width="11.5546875" style="85" hidden="1" customWidth="1"/>
    <col min="57" max="57" width="8.88671875" style="85" hidden="1" customWidth="1"/>
    <col min="58" max="58" width="9.77734375" style="85" bestFit="1" customWidth="1"/>
    <col min="59" max="16384" width="8.88671875" style="85"/>
  </cols>
  <sheetData>
    <row r="1" spans="1:56" s="5" customFormat="1" ht="28.5" customHeight="1" x14ac:dyDescent="0.15">
      <c r="A1" s="101"/>
      <c r="B1" s="102"/>
      <c r="C1" s="102"/>
      <c r="D1" s="102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07" t="s">
        <v>1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126" t="s">
        <v>2</v>
      </c>
      <c r="AQ1" s="127"/>
      <c r="AR1" s="113" t="s">
        <v>3</v>
      </c>
      <c r="AS1" s="113"/>
      <c r="AT1" s="113" t="s">
        <v>4</v>
      </c>
      <c r="AU1" s="113"/>
      <c r="AV1" s="113"/>
      <c r="AW1" s="113"/>
      <c r="AX1" s="113" t="s">
        <v>5</v>
      </c>
      <c r="AY1" s="132"/>
      <c r="AZ1" s="3"/>
      <c r="BA1" s="4"/>
      <c r="BB1" s="4"/>
      <c r="BC1" s="4"/>
    </row>
    <row r="2" spans="1:56" s="5" customFormat="1" ht="15" customHeight="1" x14ac:dyDescent="0.15">
      <c r="A2" s="103"/>
      <c r="B2" s="104"/>
      <c r="C2" s="104"/>
      <c r="D2" s="104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10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128"/>
      <c r="AQ2" s="129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</row>
    <row r="3" spans="1:56" s="5" customFormat="1" ht="39.950000000000003" customHeight="1" x14ac:dyDescent="0.15">
      <c r="A3" s="103"/>
      <c r="B3" s="104"/>
      <c r="C3" s="104"/>
      <c r="D3" s="104"/>
      <c r="E3" s="120" t="s">
        <v>6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2"/>
      <c r="R3" s="138" t="s">
        <v>109</v>
      </c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40"/>
      <c r="AP3" s="128"/>
      <c r="AQ3" s="129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</row>
    <row r="4" spans="1:56" s="5" customFormat="1" ht="39.950000000000003" customHeight="1" thickBot="1" x14ac:dyDescent="0.2">
      <c r="A4" s="105"/>
      <c r="B4" s="106"/>
      <c r="C4" s="106"/>
      <c r="D4" s="106"/>
      <c r="E4" s="123" t="s">
        <v>7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41" t="s">
        <v>8</v>
      </c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30"/>
      <c r="AQ4" s="131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</row>
    <row r="5" spans="1:56" s="10" customFormat="1" ht="21.75" customHeight="1" thickBot="1" x14ac:dyDescent="0.2">
      <c r="A5" s="144"/>
      <c r="B5" s="147" t="s">
        <v>107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102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108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105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9</v>
      </c>
      <c r="BA5" s="172"/>
      <c r="BB5" s="172"/>
      <c r="BC5" s="173"/>
      <c r="BD5" s="155" t="s">
        <v>10</v>
      </c>
    </row>
    <row r="6" spans="1:56" s="11" customFormat="1" ht="21.75" customHeight="1" x14ac:dyDescent="0.15">
      <c r="A6" s="145"/>
      <c r="B6" s="150" t="s">
        <v>106</v>
      </c>
      <c r="C6" s="151"/>
      <c r="D6" s="151"/>
      <c r="E6" s="151" t="s">
        <v>11</v>
      </c>
      <c r="F6" s="153" t="s">
        <v>12</v>
      </c>
      <c r="G6" s="151" t="s">
        <v>13</v>
      </c>
      <c r="H6" s="159" t="s">
        <v>14</v>
      </c>
      <c r="I6" s="159"/>
      <c r="J6" s="159" t="s">
        <v>15</v>
      </c>
      <c r="K6" s="159"/>
      <c r="L6" s="160" t="s">
        <v>16</v>
      </c>
      <c r="M6" s="160"/>
      <c r="N6" s="160"/>
      <c r="O6" s="161"/>
      <c r="P6" s="150" t="s">
        <v>101</v>
      </c>
      <c r="Q6" s="151"/>
      <c r="R6" s="151"/>
      <c r="S6" s="151" t="s">
        <v>11</v>
      </c>
      <c r="T6" s="153" t="s">
        <v>12</v>
      </c>
      <c r="U6" s="151" t="s">
        <v>13</v>
      </c>
      <c r="V6" s="159" t="s">
        <v>14</v>
      </c>
      <c r="W6" s="159"/>
      <c r="X6" s="159" t="s">
        <v>15</v>
      </c>
      <c r="Y6" s="159"/>
      <c r="Z6" s="160" t="s">
        <v>16</v>
      </c>
      <c r="AA6" s="160"/>
      <c r="AB6" s="160"/>
      <c r="AC6" s="161"/>
      <c r="AD6" s="150" t="s">
        <v>103</v>
      </c>
      <c r="AE6" s="151"/>
      <c r="AF6" s="151"/>
      <c r="AG6" s="177" t="s">
        <v>13</v>
      </c>
      <c r="AH6" s="158" t="s">
        <v>14</v>
      </c>
      <c r="AI6" s="159"/>
      <c r="AJ6" s="159" t="s">
        <v>15</v>
      </c>
      <c r="AK6" s="159"/>
      <c r="AL6" s="160" t="s">
        <v>16</v>
      </c>
      <c r="AM6" s="160"/>
      <c r="AN6" s="160"/>
      <c r="AO6" s="161"/>
      <c r="AP6" s="150" t="s">
        <v>104</v>
      </c>
      <c r="AQ6" s="151"/>
      <c r="AR6" s="151"/>
      <c r="AS6" s="151" t="s">
        <v>11</v>
      </c>
      <c r="AT6" s="151" t="s">
        <v>12</v>
      </c>
      <c r="AU6" s="162" t="s">
        <v>13</v>
      </c>
      <c r="AV6" s="164" t="s">
        <v>14</v>
      </c>
      <c r="AW6" s="165"/>
      <c r="AX6" s="164" t="s">
        <v>15</v>
      </c>
      <c r="AY6" s="165"/>
      <c r="AZ6" s="174" t="s">
        <v>16</v>
      </c>
      <c r="BA6" s="175"/>
      <c r="BB6" s="175"/>
      <c r="BC6" s="176"/>
      <c r="BD6" s="156"/>
    </row>
    <row r="7" spans="1:56" s="25" customFormat="1" ht="21" customHeight="1" thickBot="1" x14ac:dyDescent="0.2">
      <c r="A7" s="146"/>
      <c r="B7" s="12" t="s">
        <v>17</v>
      </c>
      <c r="C7" s="13" t="s">
        <v>18</v>
      </c>
      <c r="D7" s="14" t="s">
        <v>19</v>
      </c>
      <c r="E7" s="152"/>
      <c r="F7" s="154"/>
      <c r="G7" s="152"/>
      <c r="H7" s="15" t="s">
        <v>20</v>
      </c>
      <c r="I7" s="15" t="s">
        <v>21</v>
      </c>
      <c r="J7" s="15" t="s">
        <v>20</v>
      </c>
      <c r="K7" s="15" t="s">
        <v>21</v>
      </c>
      <c r="L7" s="16" t="s">
        <v>22</v>
      </c>
      <c r="M7" s="16" t="s">
        <v>23</v>
      </c>
      <c r="N7" s="16" t="s">
        <v>24</v>
      </c>
      <c r="O7" s="17" t="s">
        <v>13</v>
      </c>
      <c r="P7" s="12" t="s">
        <v>17</v>
      </c>
      <c r="Q7" s="13" t="s">
        <v>18</v>
      </c>
      <c r="R7" s="14" t="s">
        <v>19</v>
      </c>
      <c r="S7" s="152"/>
      <c r="T7" s="154"/>
      <c r="U7" s="152"/>
      <c r="V7" s="15" t="s">
        <v>25</v>
      </c>
      <c r="W7" s="15" t="s">
        <v>21</v>
      </c>
      <c r="X7" s="15" t="s">
        <v>20</v>
      </c>
      <c r="Y7" s="15" t="s">
        <v>21</v>
      </c>
      <c r="Z7" s="16" t="s">
        <v>22</v>
      </c>
      <c r="AA7" s="16" t="s">
        <v>23</v>
      </c>
      <c r="AB7" s="16" t="s">
        <v>24</v>
      </c>
      <c r="AC7" s="17" t="s">
        <v>13</v>
      </c>
      <c r="AD7" s="12" t="s">
        <v>17</v>
      </c>
      <c r="AE7" s="13" t="s">
        <v>18</v>
      </c>
      <c r="AF7" s="14" t="s">
        <v>19</v>
      </c>
      <c r="AG7" s="178"/>
      <c r="AH7" s="19" t="s">
        <v>20</v>
      </c>
      <c r="AI7" s="15" t="s">
        <v>21</v>
      </c>
      <c r="AJ7" s="15" t="s">
        <v>20</v>
      </c>
      <c r="AK7" s="15" t="s">
        <v>21</v>
      </c>
      <c r="AL7" s="16" t="s">
        <v>22</v>
      </c>
      <c r="AM7" s="16" t="s">
        <v>23</v>
      </c>
      <c r="AN7" s="16" t="s">
        <v>24</v>
      </c>
      <c r="AO7" s="17" t="s">
        <v>13</v>
      </c>
      <c r="AP7" s="12" t="s">
        <v>17</v>
      </c>
      <c r="AQ7" s="13" t="s">
        <v>18</v>
      </c>
      <c r="AR7" s="14" t="s">
        <v>19</v>
      </c>
      <c r="AS7" s="152"/>
      <c r="AT7" s="152"/>
      <c r="AU7" s="163"/>
      <c r="AV7" s="20" t="s">
        <v>20</v>
      </c>
      <c r="AW7" s="21" t="s">
        <v>21</v>
      </c>
      <c r="AX7" s="20" t="s">
        <v>20</v>
      </c>
      <c r="AY7" s="21" t="s">
        <v>21</v>
      </c>
      <c r="AZ7" s="22" t="s">
        <v>22</v>
      </c>
      <c r="BA7" s="23" t="s">
        <v>23</v>
      </c>
      <c r="BB7" s="23" t="s">
        <v>24</v>
      </c>
      <c r="BC7" s="24" t="s">
        <v>13</v>
      </c>
      <c r="BD7" s="157"/>
    </row>
    <row r="8" spans="1:56" s="52" customFormat="1" ht="21.75" customHeight="1" x14ac:dyDescent="0.15">
      <c r="A8" s="26">
        <v>45292</v>
      </c>
      <c r="B8" s="27">
        <v>0</v>
      </c>
      <c r="C8" s="28">
        <v>0</v>
      </c>
      <c r="D8" s="29">
        <v>0</v>
      </c>
      <c r="E8" s="30">
        <v>0</v>
      </c>
      <c r="F8" s="31">
        <v>0</v>
      </c>
      <c r="G8" s="32">
        <f>B8+E8+F8</f>
        <v>0</v>
      </c>
      <c r="H8" s="33">
        <v>0</v>
      </c>
      <c r="I8" s="34">
        <v>0</v>
      </c>
      <c r="J8" s="35">
        <v>0</v>
      </c>
      <c r="K8" s="36">
        <v>0</v>
      </c>
      <c r="L8" s="37">
        <v>0</v>
      </c>
      <c r="M8" s="38">
        <v>0</v>
      </c>
      <c r="N8" s="38">
        <v>0</v>
      </c>
      <c r="O8" s="39">
        <f>SUM(L8:N8)</f>
        <v>0</v>
      </c>
      <c r="P8" s="40">
        <v>0</v>
      </c>
      <c r="Q8" s="28">
        <v>0</v>
      </c>
      <c r="R8" s="29">
        <v>0</v>
      </c>
      <c r="S8" s="30">
        <v>0</v>
      </c>
      <c r="T8" s="31">
        <v>0</v>
      </c>
      <c r="U8" s="32">
        <f>P8+S8+T8</f>
        <v>0</v>
      </c>
      <c r="V8" s="33">
        <v>0</v>
      </c>
      <c r="W8" s="34">
        <v>0</v>
      </c>
      <c r="X8" s="35">
        <v>0</v>
      </c>
      <c r="Y8" s="36">
        <v>0</v>
      </c>
      <c r="Z8" s="37">
        <v>0</v>
      </c>
      <c r="AA8" s="38">
        <v>0</v>
      </c>
      <c r="AB8" s="38">
        <v>0</v>
      </c>
      <c r="AC8" s="39">
        <f>SUM(Z8:AB8)</f>
        <v>0</v>
      </c>
      <c r="AD8" s="45">
        <v>0</v>
      </c>
      <c r="AE8" s="28">
        <v>0</v>
      </c>
      <c r="AF8" s="41">
        <v>0</v>
      </c>
      <c r="AG8" s="32">
        <f>AD8</f>
        <v>0</v>
      </c>
      <c r="AH8" s="35">
        <v>0</v>
      </c>
      <c r="AI8" s="43">
        <v>0</v>
      </c>
      <c r="AJ8" s="35">
        <v>0</v>
      </c>
      <c r="AK8" s="43">
        <v>0</v>
      </c>
      <c r="AL8" s="44">
        <v>0</v>
      </c>
      <c r="AM8" s="38">
        <v>0</v>
      </c>
      <c r="AN8" s="38">
        <v>0</v>
      </c>
      <c r="AO8" s="39">
        <f>SUM(AL8:AN8)</f>
        <v>0</v>
      </c>
      <c r="AP8" s="40">
        <f>AD8+P8+B8</f>
        <v>0</v>
      </c>
      <c r="AQ8" s="28">
        <v>0</v>
      </c>
      <c r="AR8" s="41">
        <v>0</v>
      </c>
      <c r="AS8" s="30">
        <f>E8+S8</f>
        <v>0</v>
      </c>
      <c r="AT8" s="30">
        <f>F8+T8</f>
        <v>0</v>
      </c>
      <c r="AU8" s="42">
        <f>AP8+AS8+AT8</f>
        <v>0</v>
      </c>
      <c r="AV8" s="33">
        <f t="shared" ref="AV8:AY9" si="0">SUM(H8,V8,AH8)</f>
        <v>0</v>
      </c>
      <c r="AW8" s="46">
        <f t="shared" si="0"/>
        <v>0</v>
      </c>
      <c r="AX8" s="33">
        <f t="shared" si="0"/>
        <v>0</v>
      </c>
      <c r="AY8" s="46">
        <f t="shared" si="0"/>
        <v>0</v>
      </c>
      <c r="AZ8" s="48">
        <f t="shared" ref="AZ8:BB9" si="1">L8+Z8+AL8</f>
        <v>0</v>
      </c>
      <c r="BA8" s="49">
        <f t="shared" si="1"/>
        <v>0</v>
      </c>
      <c r="BB8" s="49">
        <f t="shared" si="1"/>
        <v>0</v>
      </c>
      <c r="BC8" s="50">
        <f>SUM(AZ8:BB8)</f>
        <v>0</v>
      </c>
      <c r="BD8" s="51">
        <v>0</v>
      </c>
    </row>
    <row r="9" spans="1:56" s="52" customFormat="1" ht="21.75" customHeight="1" x14ac:dyDescent="0.15">
      <c r="A9" s="53">
        <v>45293</v>
      </c>
      <c r="B9" s="27">
        <v>28797</v>
      </c>
      <c r="C9" s="28">
        <v>145000</v>
      </c>
      <c r="D9" s="29">
        <f>B9/C9</f>
        <v>0.1986</v>
      </c>
      <c r="E9" s="30">
        <v>179976</v>
      </c>
      <c r="F9" s="31">
        <v>221000</v>
      </c>
      <c r="G9" s="32">
        <f>B9+E9+F9</f>
        <v>429773</v>
      </c>
      <c r="H9" s="33">
        <v>0</v>
      </c>
      <c r="I9" s="34">
        <v>0</v>
      </c>
      <c r="J9" s="35">
        <v>0</v>
      </c>
      <c r="K9" s="36">
        <v>0</v>
      </c>
      <c r="L9" s="37">
        <v>0</v>
      </c>
      <c r="M9" s="38">
        <v>28797</v>
      </c>
      <c r="N9" s="38">
        <v>0</v>
      </c>
      <c r="O9" s="39">
        <f>SUM(L9:N9)</f>
        <v>28797</v>
      </c>
      <c r="P9" s="40">
        <v>86886</v>
      </c>
      <c r="Q9" s="28">
        <v>70000</v>
      </c>
      <c r="R9" s="29">
        <f>P9/Q9</f>
        <v>1.2412285714285713</v>
      </c>
      <c r="S9" s="30">
        <v>31736</v>
      </c>
      <c r="T9" s="31">
        <v>0</v>
      </c>
      <c r="U9" s="32">
        <f>P9+S9+T9</f>
        <v>118622</v>
      </c>
      <c r="V9" s="33">
        <v>0</v>
      </c>
      <c r="W9" s="34">
        <v>0</v>
      </c>
      <c r="X9" s="35">
        <v>0</v>
      </c>
      <c r="Y9" s="36">
        <v>0</v>
      </c>
      <c r="Z9" s="37">
        <v>11860</v>
      </c>
      <c r="AA9" s="38">
        <v>75026</v>
      </c>
      <c r="AB9" s="38">
        <v>0</v>
      </c>
      <c r="AC9" s="39">
        <f>SUM(Z9:AB9)</f>
        <v>86886</v>
      </c>
      <c r="AD9" s="45">
        <v>251318</v>
      </c>
      <c r="AE9" s="28">
        <v>200000</v>
      </c>
      <c r="AF9" s="41">
        <f>AD9/AE9</f>
        <v>1.2565900000000001</v>
      </c>
      <c r="AG9" s="32">
        <f>AD9</f>
        <v>251318</v>
      </c>
      <c r="AH9" s="35">
        <v>0</v>
      </c>
      <c r="AI9" s="43">
        <v>0</v>
      </c>
      <c r="AJ9" s="35">
        <v>5594</v>
      </c>
      <c r="AK9" s="43">
        <v>0</v>
      </c>
      <c r="AL9" s="44">
        <v>251318</v>
      </c>
      <c r="AM9" s="38">
        <v>0</v>
      </c>
      <c r="AN9" s="38">
        <v>0</v>
      </c>
      <c r="AO9" s="39">
        <f>SUM(AL9:AN9)</f>
        <v>251318</v>
      </c>
      <c r="AP9" s="40">
        <f>AD9+P9+B9</f>
        <v>367001</v>
      </c>
      <c r="AQ9" s="28">
        <v>415000</v>
      </c>
      <c r="AR9" s="41">
        <f>AP9/AQ9</f>
        <v>0.88433975903614459</v>
      </c>
      <c r="AS9" s="30">
        <f>E9+S9</f>
        <v>211712</v>
      </c>
      <c r="AT9" s="30">
        <f>F9+T9</f>
        <v>221000</v>
      </c>
      <c r="AU9" s="42">
        <f>AP9+AS9+AT9</f>
        <v>799713</v>
      </c>
      <c r="AV9" s="33">
        <f t="shared" si="0"/>
        <v>0</v>
      </c>
      <c r="AW9" s="46">
        <f t="shared" si="0"/>
        <v>0</v>
      </c>
      <c r="AX9" s="33">
        <f t="shared" si="0"/>
        <v>5594</v>
      </c>
      <c r="AY9" s="46">
        <f t="shared" si="0"/>
        <v>0</v>
      </c>
      <c r="AZ9" s="48">
        <f t="shared" si="1"/>
        <v>263178</v>
      </c>
      <c r="BA9" s="49">
        <f t="shared" si="1"/>
        <v>103823</v>
      </c>
      <c r="BB9" s="49">
        <f t="shared" si="1"/>
        <v>0</v>
      </c>
      <c r="BC9" s="50">
        <f>SUM(AZ9:BB9)</f>
        <v>367001</v>
      </c>
      <c r="BD9" s="51">
        <v>0</v>
      </c>
    </row>
    <row r="10" spans="1:56" s="52" customFormat="1" ht="21.75" customHeight="1" x14ac:dyDescent="0.15">
      <c r="A10" s="26">
        <v>45294</v>
      </c>
      <c r="B10" s="27">
        <v>0</v>
      </c>
      <c r="C10" s="28">
        <v>0</v>
      </c>
      <c r="D10" s="29">
        <v>0</v>
      </c>
      <c r="E10" s="30">
        <v>0</v>
      </c>
      <c r="F10" s="31">
        <v>0</v>
      </c>
      <c r="G10" s="32">
        <f t="shared" ref="G10:G16" si="2">B10+E10+F10</f>
        <v>0</v>
      </c>
      <c r="H10" s="33">
        <v>0</v>
      </c>
      <c r="I10" s="34">
        <v>0</v>
      </c>
      <c r="J10" s="35">
        <v>0</v>
      </c>
      <c r="K10" s="36">
        <v>0</v>
      </c>
      <c r="L10" s="37">
        <v>0</v>
      </c>
      <c r="M10" s="38">
        <v>0</v>
      </c>
      <c r="N10" s="38">
        <v>0</v>
      </c>
      <c r="O10" s="39">
        <f t="shared" ref="O10:O16" si="3">SUM(L10:N10)</f>
        <v>0</v>
      </c>
      <c r="P10" s="40">
        <v>0</v>
      </c>
      <c r="Q10" s="28">
        <v>0</v>
      </c>
      <c r="R10" s="29">
        <v>0</v>
      </c>
      <c r="S10" s="30">
        <v>0</v>
      </c>
      <c r="T10" s="31">
        <v>0</v>
      </c>
      <c r="U10" s="32">
        <f t="shared" ref="U10:U16" si="4">P10+S10+T10</f>
        <v>0</v>
      </c>
      <c r="V10" s="33">
        <v>0</v>
      </c>
      <c r="W10" s="34">
        <v>0</v>
      </c>
      <c r="X10" s="35">
        <v>0</v>
      </c>
      <c r="Y10" s="36">
        <v>0</v>
      </c>
      <c r="Z10" s="37">
        <v>0</v>
      </c>
      <c r="AA10" s="38">
        <v>0</v>
      </c>
      <c r="AB10" s="38">
        <v>0</v>
      </c>
      <c r="AC10" s="39">
        <f t="shared" ref="AC10:AC16" si="5">SUM(Z10:AB10)</f>
        <v>0</v>
      </c>
      <c r="AD10" s="45">
        <v>0</v>
      </c>
      <c r="AE10" s="28">
        <v>0</v>
      </c>
      <c r="AF10" s="41">
        <v>0</v>
      </c>
      <c r="AG10" s="32">
        <f t="shared" ref="AG10:AG16" si="6">AD10</f>
        <v>0</v>
      </c>
      <c r="AH10" s="35">
        <v>0</v>
      </c>
      <c r="AI10" s="43">
        <v>0</v>
      </c>
      <c r="AJ10" s="35">
        <v>0</v>
      </c>
      <c r="AK10" s="43">
        <v>0</v>
      </c>
      <c r="AL10" s="44">
        <v>0</v>
      </c>
      <c r="AM10" s="38">
        <v>0</v>
      </c>
      <c r="AN10" s="38">
        <v>0</v>
      </c>
      <c r="AO10" s="39">
        <f t="shared" ref="AO10:AO16" si="7">SUM(AL10:AN10)</f>
        <v>0</v>
      </c>
      <c r="AP10" s="40">
        <f t="shared" ref="AP10:AP16" si="8">AD10+P10+B10</f>
        <v>0</v>
      </c>
      <c r="AQ10" s="28">
        <v>0</v>
      </c>
      <c r="AR10" s="41">
        <v>0</v>
      </c>
      <c r="AS10" s="30">
        <f t="shared" ref="AS10:AS16" si="9">E10+S10</f>
        <v>0</v>
      </c>
      <c r="AT10" s="30">
        <f t="shared" ref="AT10:AT16" si="10">F10+T10</f>
        <v>0</v>
      </c>
      <c r="AU10" s="42">
        <f t="shared" ref="AU10:AU16" si="11">AP10+AS10+AT10</f>
        <v>0</v>
      </c>
      <c r="AV10" s="33">
        <f t="shared" ref="AV10:AV16" si="12">SUM(H10,V10,AH10)</f>
        <v>0</v>
      </c>
      <c r="AW10" s="46">
        <f t="shared" ref="AW10:AW16" si="13">SUM(I10,W10,AI10)</f>
        <v>0</v>
      </c>
      <c r="AX10" s="33">
        <f t="shared" ref="AX10:AX16" si="14">SUM(J10,X10,AJ10)</f>
        <v>0</v>
      </c>
      <c r="AY10" s="46">
        <f t="shared" ref="AY10:AY16" si="15">SUM(K10,Y10,AK10)</f>
        <v>0</v>
      </c>
      <c r="AZ10" s="48">
        <f t="shared" ref="AZ10:AZ16" si="16">L10+Z10+AL10</f>
        <v>0</v>
      </c>
      <c r="BA10" s="49">
        <f t="shared" ref="BA10:BA16" si="17">M10+AA10+AM10</f>
        <v>0</v>
      </c>
      <c r="BB10" s="49">
        <f t="shared" ref="BB10:BB16" si="18">N10+AB10+AN10</f>
        <v>0</v>
      </c>
      <c r="BC10" s="50">
        <f t="shared" ref="BC10:BC16" si="19">SUM(AZ10:BB10)</f>
        <v>0</v>
      </c>
      <c r="BD10" s="51"/>
    </row>
    <row r="11" spans="1:56" s="52" customFormat="1" ht="21.75" customHeight="1" x14ac:dyDescent="0.15">
      <c r="A11" s="26">
        <v>45295</v>
      </c>
      <c r="B11" s="27">
        <v>0</v>
      </c>
      <c r="C11" s="28">
        <v>0</v>
      </c>
      <c r="D11" s="29">
        <v>0</v>
      </c>
      <c r="E11" s="30">
        <v>0</v>
      </c>
      <c r="F11" s="31">
        <v>0</v>
      </c>
      <c r="G11" s="32">
        <f t="shared" si="2"/>
        <v>0</v>
      </c>
      <c r="H11" s="33">
        <v>0</v>
      </c>
      <c r="I11" s="34">
        <v>0</v>
      </c>
      <c r="J11" s="35">
        <v>0</v>
      </c>
      <c r="K11" s="36">
        <v>0</v>
      </c>
      <c r="L11" s="37">
        <v>0</v>
      </c>
      <c r="M11" s="38">
        <v>0</v>
      </c>
      <c r="N11" s="38">
        <v>0</v>
      </c>
      <c r="O11" s="39">
        <f t="shared" si="3"/>
        <v>0</v>
      </c>
      <c r="P11" s="40">
        <v>0</v>
      </c>
      <c r="Q11" s="28">
        <v>0</v>
      </c>
      <c r="R11" s="29">
        <v>0</v>
      </c>
      <c r="S11" s="30">
        <v>0</v>
      </c>
      <c r="T11" s="31">
        <v>0</v>
      </c>
      <c r="U11" s="32">
        <f t="shared" si="4"/>
        <v>0</v>
      </c>
      <c r="V11" s="33">
        <v>0</v>
      </c>
      <c r="W11" s="34">
        <v>0</v>
      </c>
      <c r="X11" s="35">
        <v>0</v>
      </c>
      <c r="Y11" s="36">
        <v>0</v>
      </c>
      <c r="Z11" s="37">
        <v>0</v>
      </c>
      <c r="AA11" s="38">
        <v>0</v>
      </c>
      <c r="AB11" s="38">
        <v>0</v>
      </c>
      <c r="AC11" s="39">
        <f t="shared" si="5"/>
        <v>0</v>
      </c>
      <c r="AD11" s="45">
        <v>0</v>
      </c>
      <c r="AE11" s="28">
        <v>0</v>
      </c>
      <c r="AF11" s="41">
        <v>0</v>
      </c>
      <c r="AG11" s="32">
        <f t="shared" si="6"/>
        <v>0</v>
      </c>
      <c r="AH11" s="35">
        <v>0</v>
      </c>
      <c r="AI11" s="43">
        <v>0</v>
      </c>
      <c r="AJ11" s="35">
        <v>0</v>
      </c>
      <c r="AK11" s="43">
        <v>0</v>
      </c>
      <c r="AL11" s="44">
        <v>0</v>
      </c>
      <c r="AM11" s="38">
        <v>0</v>
      </c>
      <c r="AN11" s="38">
        <v>0</v>
      </c>
      <c r="AO11" s="39">
        <f t="shared" si="7"/>
        <v>0</v>
      </c>
      <c r="AP11" s="40">
        <f t="shared" si="8"/>
        <v>0</v>
      </c>
      <c r="AQ11" s="28">
        <v>0</v>
      </c>
      <c r="AR11" s="41">
        <v>0</v>
      </c>
      <c r="AS11" s="30">
        <f t="shared" si="9"/>
        <v>0</v>
      </c>
      <c r="AT11" s="30">
        <f t="shared" si="10"/>
        <v>0</v>
      </c>
      <c r="AU11" s="42">
        <f t="shared" si="11"/>
        <v>0</v>
      </c>
      <c r="AV11" s="33">
        <f t="shared" si="12"/>
        <v>0</v>
      </c>
      <c r="AW11" s="46">
        <f t="shared" si="13"/>
        <v>0</v>
      </c>
      <c r="AX11" s="33">
        <f t="shared" si="14"/>
        <v>0</v>
      </c>
      <c r="AY11" s="46">
        <f t="shared" si="15"/>
        <v>0</v>
      </c>
      <c r="AZ11" s="48">
        <f t="shared" si="16"/>
        <v>0</v>
      </c>
      <c r="BA11" s="49">
        <f t="shared" si="17"/>
        <v>0</v>
      </c>
      <c r="BB11" s="49">
        <f t="shared" si="18"/>
        <v>0</v>
      </c>
      <c r="BC11" s="50">
        <f t="shared" si="19"/>
        <v>0</v>
      </c>
      <c r="BD11" s="51"/>
    </row>
    <row r="12" spans="1:56" s="52" customFormat="1" ht="21.75" customHeight="1" x14ac:dyDescent="0.15">
      <c r="A12" s="53">
        <v>45296</v>
      </c>
      <c r="B12" s="27">
        <v>77492</v>
      </c>
      <c r="C12" s="28">
        <v>145000</v>
      </c>
      <c r="D12" s="29">
        <f>B12/C12</f>
        <v>0.53442758620689657</v>
      </c>
      <c r="E12" s="30">
        <v>290364</v>
      </c>
      <c r="F12" s="31">
        <v>111407</v>
      </c>
      <c r="G12" s="32">
        <f t="shared" si="2"/>
        <v>479263</v>
      </c>
      <c r="H12" s="33">
        <v>0</v>
      </c>
      <c r="I12" s="34">
        <v>0</v>
      </c>
      <c r="J12" s="35">
        <v>0</v>
      </c>
      <c r="K12" s="36">
        <v>0</v>
      </c>
      <c r="L12" s="37">
        <v>77492</v>
      </c>
      <c r="M12" s="38">
        <v>0</v>
      </c>
      <c r="N12" s="38">
        <v>0</v>
      </c>
      <c r="O12" s="39">
        <f t="shared" si="3"/>
        <v>77492</v>
      </c>
      <c r="P12" s="40">
        <v>64428</v>
      </c>
      <c r="Q12" s="28">
        <v>70000</v>
      </c>
      <c r="R12" s="29">
        <f>P12/Q12</f>
        <v>0.9204</v>
      </c>
      <c r="S12" s="30">
        <v>0</v>
      </c>
      <c r="T12" s="31">
        <v>0</v>
      </c>
      <c r="U12" s="32">
        <f t="shared" si="4"/>
        <v>64428</v>
      </c>
      <c r="V12" s="33">
        <v>0</v>
      </c>
      <c r="W12" s="34">
        <v>0</v>
      </c>
      <c r="X12" s="35">
        <v>0</v>
      </c>
      <c r="Y12" s="36">
        <v>0</v>
      </c>
      <c r="Z12" s="37">
        <v>9464</v>
      </c>
      <c r="AA12" s="38">
        <v>54964</v>
      </c>
      <c r="AB12" s="38">
        <v>0</v>
      </c>
      <c r="AC12" s="39">
        <f t="shared" si="5"/>
        <v>64428</v>
      </c>
      <c r="AD12" s="45">
        <v>151720</v>
      </c>
      <c r="AE12" s="28">
        <v>200000</v>
      </c>
      <c r="AF12" s="41">
        <f>AD12/AE12</f>
        <v>0.75860000000000005</v>
      </c>
      <c r="AG12" s="32">
        <f t="shared" si="6"/>
        <v>151720</v>
      </c>
      <c r="AH12" s="35">
        <v>0</v>
      </c>
      <c r="AI12" s="43">
        <v>0</v>
      </c>
      <c r="AJ12" s="35">
        <v>7912</v>
      </c>
      <c r="AK12" s="43">
        <v>0</v>
      </c>
      <c r="AL12" s="44">
        <v>151720</v>
      </c>
      <c r="AM12" s="38">
        <v>0</v>
      </c>
      <c r="AN12" s="38">
        <v>0</v>
      </c>
      <c r="AO12" s="39">
        <f t="shared" si="7"/>
        <v>151720</v>
      </c>
      <c r="AP12" s="40">
        <f t="shared" si="8"/>
        <v>293640</v>
      </c>
      <c r="AQ12" s="28">
        <v>415000</v>
      </c>
      <c r="AR12" s="41">
        <f>AP12/AQ12</f>
        <v>0.70756626506024101</v>
      </c>
      <c r="AS12" s="30">
        <f t="shared" si="9"/>
        <v>290364</v>
      </c>
      <c r="AT12" s="30">
        <f t="shared" si="10"/>
        <v>111407</v>
      </c>
      <c r="AU12" s="42">
        <f t="shared" si="11"/>
        <v>695411</v>
      </c>
      <c r="AV12" s="33">
        <f t="shared" si="12"/>
        <v>0</v>
      </c>
      <c r="AW12" s="46">
        <f t="shared" si="13"/>
        <v>0</v>
      </c>
      <c r="AX12" s="33">
        <f t="shared" si="14"/>
        <v>7912</v>
      </c>
      <c r="AY12" s="47">
        <f t="shared" si="15"/>
        <v>0</v>
      </c>
      <c r="AZ12" s="48">
        <f t="shared" si="16"/>
        <v>238676</v>
      </c>
      <c r="BA12" s="49">
        <f t="shared" si="17"/>
        <v>54964</v>
      </c>
      <c r="BB12" s="49">
        <f t="shared" si="18"/>
        <v>0</v>
      </c>
      <c r="BC12" s="50">
        <f t="shared" si="19"/>
        <v>293640</v>
      </c>
      <c r="BD12" s="51"/>
    </row>
    <row r="13" spans="1:56" s="52" customFormat="1" ht="21.75" customHeight="1" x14ac:dyDescent="0.15">
      <c r="A13" s="53">
        <v>45663</v>
      </c>
      <c r="B13" s="27">
        <v>36528</v>
      </c>
      <c r="C13" s="28">
        <v>145000</v>
      </c>
      <c r="D13" s="29">
        <f>B13/C13</f>
        <v>0.25191724137931032</v>
      </c>
      <c r="E13" s="30">
        <v>215492</v>
      </c>
      <c r="F13" s="31">
        <v>0</v>
      </c>
      <c r="G13" s="32">
        <f t="shared" si="2"/>
        <v>252020</v>
      </c>
      <c r="H13" s="33">
        <v>0</v>
      </c>
      <c r="I13" s="34">
        <v>0</v>
      </c>
      <c r="J13" s="35">
        <v>0</v>
      </c>
      <c r="K13" s="36">
        <v>0</v>
      </c>
      <c r="L13" s="37">
        <v>36528</v>
      </c>
      <c r="M13" s="38">
        <v>0</v>
      </c>
      <c r="N13" s="38">
        <v>0</v>
      </c>
      <c r="O13" s="39">
        <f t="shared" si="3"/>
        <v>36528</v>
      </c>
      <c r="P13" s="40">
        <v>79159</v>
      </c>
      <c r="Q13" s="28">
        <v>70000</v>
      </c>
      <c r="R13" s="29">
        <f>P13/Q13</f>
        <v>1.130842857142857</v>
      </c>
      <c r="S13" s="30">
        <v>38148</v>
      </c>
      <c r="T13" s="31">
        <v>0</v>
      </c>
      <c r="U13" s="32">
        <f t="shared" si="4"/>
        <v>117307</v>
      </c>
      <c r="V13" s="33">
        <v>0</v>
      </c>
      <c r="W13" s="34">
        <v>0</v>
      </c>
      <c r="X13" s="35">
        <v>0</v>
      </c>
      <c r="Y13" s="36">
        <v>0</v>
      </c>
      <c r="Z13" s="37">
        <v>49246</v>
      </c>
      <c r="AA13" s="38">
        <v>6785</v>
      </c>
      <c r="AB13" s="38">
        <v>23128</v>
      </c>
      <c r="AC13" s="39">
        <f t="shared" si="5"/>
        <v>79159</v>
      </c>
      <c r="AD13" s="45">
        <v>219055</v>
      </c>
      <c r="AE13" s="28">
        <v>200000</v>
      </c>
      <c r="AF13" s="41">
        <f>AD13/AE13</f>
        <v>1.095275</v>
      </c>
      <c r="AG13" s="32">
        <f t="shared" si="6"/>
        <v>219055</v>
      </c>
      <c r="AH13" s="35">
        <v>0</v>
      </c>
      <c r="AI13" s="43">
        <v>0</v>
      </c>
      <c r="AJ13" s="35">
        <v>0</v>
      </c>
      <c r="AK13" s="43">
        <v>0</v>
      </c>
      <c r="AL13" s="44">
        <v>219055</v>
      </c>
      <c r="AM13" s="38">
        <v>0</v>
      </c>
      <c r="AN13" s="38">
        <v>0</v>
      </c>
      <c r="AO13" s="39">
        <f t="shared" si="7"/>
        <v>219055</v>
      </c>
      <c r="AP13" s="40">
        <f t="shared" si="8"/>
        <v>334742</v>
      </c>
      <c r="AQ13" s="28">
        <v>415000</v>
      </c>
      <c r="AR13" s="41">
        <f>AP13/AQ13</f>
        <v>0.80660722891566261</v>
      </c>
      <c r="AS13" s="30">
        <f t="shared" si="9"/>
        <v>253640</v>
      </c>
      <c r="AT13" s="30">
        <f t="shared" si="10"/>
        <v>0</v>
      </c>
      <c r="AU13" s="42">
        <f t="shared" si="11"/>
        <v>588382</v>
      </c>
      <c r="AV13" s="33">
        <f t="shared" si="12"/>
        <v>0</v>
      </c>
      <c r="AW13" s="46">
        <f t="shared" si="13"/>
        <v>0</v>
      </c>
      <c r="AX13" s="33">
        <f t="shared" si="14"/>
        <v>0</v>
      </c>
      <c r="AY13" s="47">
        <f t="shared" si="15"/>
        <v>0</v>
      </c>
      <c r="AZ13" s="48">
        <f t="shared" si="16"/>
        <v>304829</v>
      </c>
      <c r="BA13" s="49">
        <f t="shared" si="17"/>
        <v>6785</v>
      </c>
      <c r="BB13" s="49">
        <f t="shared" si="18"/>
        <v>23128</v>
      </c>
      <c r="BC13" s="50">
        <f t="shared" si="19"/>
        <v>334742</v>
      </c>
      <c r="BD13" s="51"/>
    </row>
    <row r="14" spans="1:56" s="52" customFormat="1" ht="21.75" customHeight="1" x14ac:dyDescent="0.15">
      <c r="A14" s="53">
        <v>45298</v>
      </c>
      <c r="B14" s="27">
        <v>179054</v>
      </c>
      <c r="C14" s="28">
        <v>145000</v>
      </c>
      <c r="D14" s="29">
        <f>B14/C14</f>
        <v>1.2348551724137931</v>
      </c>
      <c r="E14" s="30">
        <v>197260</v>
      </c>
      <c r="F14" s="31">
        <v>319300</v>
      </c>
      <c r="G14" s="32">
        <f t="shared" si="2"/>
        <v>695614</v>
      </c>
      <c r="H14" s="33">
        <v>0</v>
      </c>
      <c r="I14" s="34">
        <v>0</v>
      </c>
      <c r="J14" s="35">
        <v>0</v>
      </c>
      <c r="K14" s="36">
        <v>0</v>
      </c>
      <c r="L14" s="37">
        <v>179054</v>
      </c>
      <c r="M14" s="38">
        <v>0</v>
      </c>
      <c r="N14" s="38">
        <v>0</v>
      </c>
      <c r="O14" s="39">
        <f t="shared" si="3"/>
        <v>179054</v>
      </c>
      <c r="P14" s="40">
        <v>111144</v>
      </c>
      <c r="Q14" s="28">
        <v>70000</v>
      </c>
      <c r="R14" s="29">
        <f>P14/Q14</f>
        <v>1.5877714285714286</v>
      </c>
      <c r="S14" s="30">
        <v>0</v>
      </c>
      <c r="T14" s="31">
        <v>0</v>
      </c>
      <c r="U14" s="32">
        <f t="shared" si="4"/>
        <v>111144</v>
      </c>
      <c r="V14" s="33">
        <v>0</v>
      </c>
      <c r="W14" s="34">
        <v>0</v>
      </c>
      <c r="X14" s="35">
        <v>2438</v>
      </c>
      <c r="Y14" s="36">
        <v>0</v>
      </c>
      <c r="Z14" s="37">
        <v>111144</v>
      </c>
      <c r="AA14" s="38">
        <v>0</v>
      </c>
      <c r="AB14" s="38">
        <v>0</v>
      </c>
      <c r="AC14" s="39">
        <f t="shared" si="5"/>
        <v>111144</v>
      </c>
      <c r="AD14" s="45">
        <v>294891</v>
      </c>
      <c r="AE14" s="28">
        <v>200000</v>
      </c>
      <c r="AF14" s="41">
        <f>AD14/AE14</f>
        <v>1.4744550000000001</v>
      </c>
      <c r="AG14" s="32">
        <f t="shared" si="6"/>
        <v>294891</v>
      </c>
      <c r="AH14" s="35">
        <v>0</v>
      </c>
      <c r="AI14" s="43">
        <v>0</v>
      </c>
      <c r="AJ14" s="35">
        <v>0</v>
      </c>
      <c r="AK14" s="43">
        <v>0</v>
      </c>
      <c r="AL14" s="44">
        <v>277041</v>
      </c>
      <c r="AM14" s="38">
        <v>0</v>
      </c>
      <c r="AN14" s="38">
        <v>17850</v>
      </c>
      <c r="AO14" s="39">
        <f t="shared" si="7"/>
        <v>294891</v>
      </c>
      <c r="AP14" s="40">
        <f t="shared" si="8"/>
        <v>585089</v>
      </c>
      <c r="AQ14" s="28">
        <v>415000</v>
      </c>
      <c r="AR14" s="41">
        <f>AP14/AQ14</f>
        <v>1.4098530120481927</v>
      </c>
      <c r="AS14" s="30">
        <f t="shared" si="9"/>
        <v>197260</v>
      </c>
      <c r="AT14" s="30">
        <f t="shared" si="10"/>
        <v>319300</v>
      </c>
      <c r="AU14" s="42">
        <f t="shared" si="11"/>
        <v>1101649</v>
      </c>
      <c r="AV14" s="33">
        <f t="shared" si="12"/>
        <v>0</v>
      </c>
      <c r="AW14" s="46">
        <f t="shared" si="13"/>
        <v>0</v>
      </c>
      <c r="AX14" s="33">
        <f t="shared" si="14"/>
        <v>2438</v>
      </c>
      <c r="AY14" s="47">
        <f t="shared" si="15"/>
        <v>0</v>
      </c>
      <c r="AZ14" s="48">
        <f t="shared" si="16"/>
        <v>567239</v>
      </c>
      <c r="BA14" s="49">
        <f t="shared" si="17"/>
        <v>0</v>
      </c>
      <c r="BB14" s="49">
        <f t="shared" si="18"/>
        <v>17850</v>
      </c>
      <c r="BC14" s="50">
        <f t="shared" si="19"/>
        <v>585089</v>
      </c>
      <c r="BD14" s="51"/>
    </row>
    <row r="15" spans="1:56" s="52" customFormat="1" ht="21.75" customHeight="1" x14ac:dyDescent="0.15">
      <c r="A15" s="53">
        <v>45299</v>
      </c>
      <c r="B15" s="27">
        <v>82151</v>
      </c>
      <c r="C15" s="28">
        <v>145000</v>
      </c>
      <c r="D15" s="29">
        <f>B15/C15</f>
        <v>0.56655862068965512</v>
      </c>
      <c r="E15" s="30">
        <v>246333</v>
      </c>
      <c r="F15" s="31">
        <v>225600</v>
      </c>
      <c r="G15" s="32">
        <f t="shared" si="2"/>
        <v>554084</v>
      </c>
      <c r="H15" s="33">
        <v>0</v>
      </c>
      <c r="I15" s="34">
        <v>0</v>
      </c>
      <c r="J15" s="35">
        <v>0</v>
      </c>
      <c r="K15" s="36">
        <v>0</v>
      </c>
      <c r="L15" s="37">
        <v>15489</v>
      </c>
      <c r="M15" s="38">
        <v>66662</v>
      </c>
      <c r="N15" s="38">
        <v>0</v>
      </c>
      <c r="O15" s="39">
        <f t="shared" si="3"/>
        <v>82151</v>
      </c>
      <c r="P15" s="40">
        <v>137323</v>
      </c>
      <c r="Q15" s="28">
        <v>70000</v>
      </c>
      <c r="R15" s="29">
        <f>P15/Q15</f>
        <v>1.9617571428571428</v>
      </c>
      <c r="S15" s="30">
        <v>0</v>
      </c>
      <c r="T15" s="31">
        <v>0</v>
      </c>
      <c r="U15" s="32">
        <f t="shared" si="4"/>
        <v>137323</v>
      </c>
      <c r="V15" s="33">
        <v>0</v>
      </c>
      <c r="W15" s="34">
        <v>0</v>
      </c>
      <c r="X15" s="35">
        <v>12494</v>
      </c>
      <c r="Y15" s="36">
        <v>0</v>
      </c>
      <c r="Z15" s="37">
        <v>42771</v>
      </c>
      <c r="AA15" s="38">
        <v>71424</v>
      </c>
      <c r="AB15" s="38">
        <v>23128</v>
      </c>
      <c r="AC15" s="39">
        <f t="shared" si="5"/>
        <v>137323</v>
      </c>
      <c r="AD15" s="45">
        <v>254975</v>
      </c>
      <c r="AE15" s="28">
        <v>200000</v>
      </c>
      <c r="AF15" s="41">
        <f>AD15/AE15</f>
        <v>1.274875</v>
      </c>
      <c r="AG15" s="32">
        <f t="shared" si="6"/>
        <v>254975</v>
      </c>
      <c r="AH15" s="35">
        <v>0</v>
      </c>
      <c r="AI15" s="43">
        <v>0</v>
      </c>
      <c r="AJ15" s="35">
        <v>0</v>
      </c>
      <c r="AK15" s="43">
        <v>0</v>
      </c>
      <c r="AL15" s="44">
        <v>192598</v>
      </c>
      <c r="AM15" s="38">
        <v>62377</v>
      </c>
      <c r="AN15" s="38">
        <v>0</v>
      </c>
      <c r="AO15" s="39">
        <f t="shared" si="7"/>
        <v>254975</v>
      </c>
      <c r="AP15" s="40">
        <f t="shared" si="8"/>
        <v>474449</v>
      </c>
      <c r="AQ15" s="28">
        <v>415000</v>
      </c>
      <c r="AR15" s="41">
        <f>AP15/AQ15</f>
        <v>1.1432506024096385</v>
      </c>
      <c r="AS15" s="30">
        <f t="shared" si="9"/>
        <v>246333</v>
      </c>
      <c r="AT15" s="30">
        <f t="shared" si="10"/>
        <v>225600</v>
      </c>
      <c r="AU15" s="42">
        <f t="shared" si="11"/>
        <v>946382</v>
      </c>
      <c r="AV15" s="33">
        <f t="shared" si="12"/>
        <v>0</v>
      </c>
      <c r="AW15" s="46">
        <f t="shared" si="13"/>
        <v>0</v>
      </c>
      <c r="AX15" s="33">
        <f t="shared" si="14"/>
        <v>12494</v>
      </c>
      <c r="AY15" s="47">
        <f t="shared" si="15"/>
        <v>0</v>
      </c>
      <c r="AZ15" s="48">
        <f t="shared" si="16"/>
        <v>250858</v>
      </c>
      <c r="BA15" s="49">
        <f t="shared" si="17"/>
        <v>200463</v>
      </c>
      <c r="BB15" s="49">
        <f t="shared" si="18"/>
        <v>23128</v>
      </c>
      <c r="BC15" s="50">
        <f t="shared" si="19"/>
        <v>474449</v>
      </c>
      <c r="BD15" s="51"/>
    </row>
    <row r="16" spans="1:56" s="52" customFormat="1" ht="21.75" customHeight="1" x14ac:dyDescent="0.15">
      <c r="A16" s="53">
        <v>45300</v>
      </c>
      <c r="B16" s="27">
        <v>52875</v>
      </c>
      <c r="C16" s="28">
        <v>145000</v>
      </c>
      <c r="D16" s="29">
        <f>B16/C16</f>
        <v>0.36465517241379308</v>
      </c>
      <c r="E16" s="30">
        <v>327432</v>
      </c>
      <c r="F16" s="31">
        <v>0</v>
      </c>
      <c r="G16" s="32">
        <f t="shared" si="2"/>
        <v>380307</v>
      </c>
      <c r="H16" s="33">
        <v>0</v>
      </c>
      <c r="I16" s="34">
        <v>0</v>
      </c>
      <c r="J16" s="35">
        <v>0</v>
      </c>
      <c r="K16" s="36">
        <v>23112</v>
      </c>
      <c r="L16" s="37">
        <v>27028</v>
      </c>
      <c r="M16" s="38">
        <v>25847</v>
      </c>
      <c r="N16" s="38">
        <v>0</v>
      </c>
      <c r="O16" s="39">
        <f t="shared" si="3"/>
        <v>52875</v>
      </c>
      <c r="P16" s="40">
        <v>142212</v>
      </c>
      <c r="Q16" s="28">
        <v>70000</v>
      </c>
      <c r="R16" s="29">
        <f>P16/Q16</f>
        <v>2.0316000000000001</v>
      </c>
      <c r="S16" s="30">
        <v>36964</v>
      </c>
      <c r="T16" s="31">
        <v>0</v>
      </c>
      <c r="U16" s="32">
        <f t="shared" si="4"/>
        <v>179176</v>
      </c>
      <c r="V16" s="33">
        <v>0</v>
      </c>
      <c r="W16" s="34">
        <v>0</v>
      </c>
      <c r="X16" s="35">
        <v>0</v>
      </c>
      <c r="Y16" s="36">
        <v>0</v>
      </c>
      <c r="Z16" s="37">
        <v>51695</v>
      </c>
      <c r="AA16" s="38">
        <v>90517</v>
      </c>
      <c r="AB16" s="38">
        <v>0</v>
      </c>
      <c r="AC16" s="39">
        <f t="shared" si="5"/>
        <v>142212</v>
      </c>
      <c r="AD16" s="45">
        <v>115595</v>
      </c>
      <c r="AE16" s="28">
        <v>200000</v>
      </c>
      <c r="AF16" s="41">
        <f>AD16/AE16</f>
        <v>0.57797500000000002</v>
      </c>
      <c r="AG16" s="32">
        <f t="shared" si="6"/>
        <v>115595</v>
      </c>
      <c r="AH16" s="35">
        <v>0</v>
      </c>
      <c r="AI16" s="43">
        <v>0</v>
      </c>
      <c r="AJ16" s="35">
        <v>0</v>
      </c>
      <c r="AK16" s="43">
        <v>0</v>
      </c>
      <c r="AL16" s="44">
        <v>59992</v>
      </c>
      <c r="AM16" s="38">
        <v>0</v>
      </c>
      <c r="AN16" s="38">
        <v>55603</v>
      </c>
      <c r="AO16" s="39">
        <f t="shared" si="7"/>
        <v>115595</v>
      </c>
      <c r="AP16" s="40">
        <f t="shared" si="8"/>
        <v>310682</v>
      </c>
      <c r="AQ16" s="28">
        <v>415000</v>
      </c>
      <c r="AR16" s="41">
        <f>AP16/AQ16</f>
        <v>0.7486313253012048</v>
      </c>
      <c r="AS16" s="30">
        <f t="shared" si="9"/>
        <v>364396</v>
      </c>
      <c r="AT16" s="30">
        <f t="shared" si="10"/>
        <v>0</v>
      </c>
      <c r="AU16" s="42">
        <f t="shared" si="11"/>
        <v>675078</v>
      </c>
      <c r="AV16" s="33">
        <f t="shared" si="12"/>
        <v>0</v>
      </c>
      <c r="AW16" s="46">
        <f t="shared" si="13"/>
        <v>0</v>
      </c>
      <c r="AX16" s="33">
        <f t="shared" si="14"/>
        <v>0</v>
      </c>
      <c r="AY16" s="47">
        <f t="shared" si="15"/>
        <v>23112</v>
      </c>
      <c r="AZ16" s="48">
        <f t="shared" si="16"/>
        <v>138715</v>
      </c>
      <c r="BA16" s="49">
        <f t="shared" si="17"/>
        <v>116364</v>
      </c>
      <c r="BB16" s="49">
        <f t="shared" si="18"/>
        <v>55603</v>
      </c>
      <c r="BC16" s="50">
        <f t="shared" si="19"/>
        <v>310682</v>
      </c>
      <c r="BD16" s="51"/>
    </row>
    <row r="17" spans="1:56" s="52" customFormat="1" ht="21.75" customHeight="1" x14ac:dyDescent="0.15">
      <c r="A17" s="26">
        <v>45301</v>
      </c>
      <c r="B17" s="27">
        <v>0</v>
      </c>
      <c r="C17" s="28">
        <v>0</v>
      </c>
      <c r="D17" s="29">
        <v>0</v>
      </c>
      <c r="E17" s="30">
        <v>0</v>
      </c>
      <c r="F17" s="31">
        <v>0</v>
      </c>
      <c r="G17" s="32">
        <f t="shared" ref="G17:G23" si="20">B17+E17+F17</f>
        <v>0</v>
      </c>
      <c r="H17" s="33">
        <v>0</v>
      </c>
      <c r="I17" s="34">
        <v>0</v>
      </c>
      <c r="J17" s="35">
        <v>0</v>
      </c>
      <c r="K17" s="36">
        <v>0</v>
      </c>
      <c r="L17" s="37">
        <v>0</v>
      </c>
      <c r="M17" s="38">
        <v>0</v>
      </c>
      <c r="N17" s="38">
        <v>0</v>
      </c>
      <c r="O17" s="39">
        <f t="shared" ref="O17:O23" si="21">SUM(L17:N17)</f>
        <v>0</v>
      </c>
      <c r="P17" s="40">
        <v>0</v>
      </c>
      <c r="Q17" s="28">
        <v>0</v>
      </c>
      <c r="R17" s="29">
        <v>0</v>
      </c>
      <c r="S17" s="30">
        <v>0</v>
      </c>
      <c r="T17" s="31">
        <v>0</v>
      </c>
      <c r="U17" s="32">
        <f t="shared" ref="U17:U23" si="22">P17+S17+T17</f>
        <v>0</v>
      </c>
      <c r="V17" s="33">
        <v>0</v>
      </c>
      <c r="W17" s="34">
        <v>0</v>
      </c>
      <c r="X17" s="35">
        <v>0</v>
      </c>
      <c r="Y17" s="36">
        <v>0</v>
      </c>
      <c r="Z17" s="37">
        <v>0</v>
      </c>
      <c r="AA17" s="38">
        <v>0</v>
      </c>
      <c r="AB17" s="38">
        <v>0</v>
      </c>
      <c r="AC17" s="39">
        <f t="shared" ref="AC17:AC23" si="23">SUM(Z17:AB17)</f>
        <v>0</v>
      </c>
      <c r="AD17" s="45">
        <v>0</v>
      </c>
      <c r="AE17" s="28">
        <v>0</v>
      </c>
      <c r="AF17" s="41">
        <v>0</v>
      </c>
      <c r="AG17" s="32">
        <f t="shared" ref="AG17:AG23" si="24">AD17</f>
        <v>0</v>
      </c>
      <c r="AH17" s="35">
        <v>0</v>
      </c>
      <c r="AI17" s="43">
        <v>0</v>
      </c>
      <c r="AJ17" s="35">
        <v>0</v>
      </c>
      <c r="AK17" s="43">
        <v>0</v>
      </c>
      <c r="AL17" s="44">
        <v>0</v>
      </c>
      <c r="AM17" s="38">
        <v>0</v>
      </c>
      <c r="AN17" s="38">
        <v>0</v>
      </c>
      <c r="AO17" s="39">
        <f t="shared" ref="AO17:AO23" si="25">SUM(AL17:AN17)</f>
        <v>0</v>
      </c>
      <c r="AP17" s="40">
        <f t="shared" ref="AP17:AP23" si="26">AD17+P17+B17</f>
        <v>0</v>
      </c>
      <c r="AQ17" s="28">
        <v>0</v>
      </c>
      <c r="AR17" s="41">
        <v>0</v>
      </c>
      <c r="AS17" s="30">
        <f t="shared" ref="AS17:AS23" si="27">E17+S17</f>
        <v>0</v>
      </c>
      <c r="AT17" s="30">
        <f t="shared" ref="AT17:AT23" si="28">F17+T17</f>
        <v>0</v>
      </c>
      <c r="AU17" s="42">
        <f t="shared" ref="AU17:AU23" si="29">AP17+AS17+AT17</f>
        <v>0</v>
      </c>
      <c r="AV17" s="33">
        <f t="shared" ref="AV17:AV23" si="30">SUM(H17,V17,AH17)</f>
        <v>0</v>
      </c>
      <c r="AW17" s="46">
        <f t="shared" ref="AW17:AW23" si="31">SUM(I17,W17,AI17)</f>
        <v>0</v>
      </c>
      <c r="AX17" s="33">
        <f t="shared" ref="AX17:AX23" si="32">SUM(J17,X17,AJ17)</f>
        <v>0</v>
      </c>
      <c r="AY17" s="46">
        <f t="shared" ref="AY17:AY23" si="33">SUM(K17,Y17,AK17)</f>
        <v>0</v>
      </c>
      <c r="AZ17" s="48">
        <f t="shared" ref="AZ17:AZ23" si="34">L17+Z17+AL17</f>
        <v>0</v>
      </c>
      <c r="BA17" s="49">
        <f t="shared" ref="BA17:BA23" si="35">M17+AA17+AM17</f>
        <v>0</v>
      </c>
      <c r="BB17" s="49">
        <f t="shared" ref="BB17:BB23" si="36">N17+AB17+AN17</f>
        <v>0</v>
      </c>
      <c r="BC17" s="50">
        <f t="shared" ref="BC17:BC23" si="37">SUM(AZ17:BB17)</f>
        <v>0</v>
      </c>
      <c r="BD17" s="51"/>
    </row>
    <row r="18" spans="1:56" s="52" customFormat="1" ht="21.75" customHeight="1" x14ac:dyDescent="0.15">
      <c r="A18" s="26">
        <v>45302</v>
      </c>
      <c r="B18" s="27">
        <v>0</v>
      </c>
      <c r="C18" s="28">
        <v>0</v>
      </c>
      <c r="D18" s="29">
        <v>0</v>
      </c>
      <c r="E18" s="30">
        <v>0</v>
      </c>
      <c r="F18" s="31">
        <v>0</v>
      </c>
      <c r="G18" s="32">
        <f t="shared" si="20"/>
        <v>0</v>
      </c>
      <c r="H18" s="33">
        <v>0</v>
      </c>
      <c r="I18" s="34">
        <v>0</v>
      </c>
      <c r="J18" s="35">
        <v>0</v>
      </c>
      <c r="K18" s="36">
        <v>0</v>
      </c>
      <c r="L18" s="37">
        <v>0</v>
      </c>
      <c r="M18" s="38">
        <v>0</v>
      </c>
      <c r="N18" s="38">
        <v>0</v>
      </c>
      <c r="O18" s="39">
        <f t="shared" si="21"/>
        <v>0</v>
      </c>
      <c r="P18" s="40">
        <v>0</v>
      </c>
      <c r="Q18" s="28">
        <v>0</v>
      </c>
      <c r="R18" s="29">
        <v>0</v>
      </c>
      <c r="S18" s="30">
        <v>0</v>
      </c>
      <c r="T18" s="31">
        <v>0</v>
      </c>
      <c r="U18" s="32">
        <f t="shared" si="22"/>
        <v>0</v>
      </c>
      <c r="V18" s="33">
        <v>0</v>
      </c>
      <c r="W18" s="34">
        <v>0</v>
      </c>
      <c r="X18" s="35">
        <v>0</v>
      </c>
      <c r="Y18" s="36">
        <v>0</v>
      </c>
      <c r="Z18" s="37">
        <v>0</v>
      </c>
      <c r="AA18" s="38">
        <v>0</v>
      </c>
      <c r="AB18" s="38">
        <v>0</v>
      </c>
      <c r="AC18" s="39">
        <f t="shared" si="23"/>
        <v>0</v>
      </c>
      <c r="AD18" s="45">
        <v>0</v>
      </c>
      <c r="AE18" s="28">
        <v>0</v>
      </c>
      <c r="AF18" s="41">
        <v>0</v>
      </c>
      <c r="AG18" s="32">
        <f t="shared" si="24"/>
        <v>0</v>
      </c>
      <c r="AH18" s="35">
        <v>0</v>
      </c>
      <c r="AI18" s="43">
        <v>0</v>
      </c>
      <c r="AJ18" s="35">
        <v>0</v>
      </c>
      <c r="AK18" s="43">
        <v>0</v>
      </c>
      <c r="AL18" s="44">
        <v>0</v>
      </c>
      <c r="AM18" s="38">
        <v>0</v>
      </c>
      <c r="AN18" s="38">
        <v>0</v>
      </c>
      <c r="AO18" s="39">
        <f t="shared" si="25"/>
        <v>0</v>
      </c>
      <c r="AP18" s="40">
        <f t="shared" si="26"/>
        <v>0</v>
      </c>
      <c r="AQ18" s="28">
        <v>0</v>
      </c>
      <c r="AR18" s="41">
        <v>0</v>
      </c>
      <c r="AS18" s="30">
        <f t="shared" si="27"/>
        <v>0</v>
      </c>
      <c r="AT18" s="30">
        <f t="shared" si="28"/>
        <v>0</v>
      </c>
      <c r="AU18" s="42">
        <f t="shared" si="29"/>
        <v>0</v>
      </c>
      <c r="AV18" s="33">
        <f t="shared" si="30"/>
        <v>0</v>
      </c>
      <c r="AW18" s="46">
        <f t="shared" si="31"/>
        <v>0</v>
      </c>
      <c r="AX18" s="33">
        <f t="shared" si="32"/>
        <v>0</v>
      </c>
      <c r="AY18" s="46">
        <f t="shared" si="33"/>
        <v>0</v>
      </c>
      <c r="AZ18" s="48">
        <f t="shared" si="34"/>
        <v>0</v>
      </c>
      <c r="BA18" s="49">
        <f t="shared" si="35"/>
        <v>0</v>
      </c>
      <c r="BB18" s="49">
        <f t="shared" si="36"/>
        <v>0</v>
      </c>
      <c r="BC18" s="50">
        <f t="shared" si="37"/>
        <v>0</v>
      </c>
      <c r="BD18" s="51"/>
    </row>
    <row r="19" spans="1:56" s="52" customFormat="1" ht="21.75" customHeight="1" x14ac:dyDescent="0.15">
      <c r="A19" s="53">
        <v>45303</v>
      </c>
      <c r="B19" s="27">
        <v>64675</v>
      </c>
      <c r="C19" s="28">
        <v>145000</v>
      </c>
      <c r="D19" s="29">
        <f>B19/C19</f>
        <v>0.44603448275862068</v>
      </c>
      <c r="E19" s="30">
        <v>206230</v>
      </c>
      <c r="F19" s="31">
        <v>0</v>
      </c>
      <c r="G19" s="32">
        <f t="shared" si="20"/>
        <v>270905</v>
      </c>
      <c r="H19" s="33">
        <v>0</v>
      </c>
      <c r="I19" s="34">
        <v>0</v>
      </c>
      <c r="J19" s="35">
        <v>0</v>
      </c>
      <c r="K19" s="36">
        <v>0</v>
      </c>
      <c r="L19" s="37">
        <v>64675</v>
      </c>
      <c r="M19" s="38">
        <v>0</v>
      </c>
      <c r="N19" s="38">
        <v>0</v>
      </c>
      <c r="O19" s="39">
        <f t="shared" si="21"/>
        <v>64675</v>
      </c>
      <c r="P19" s="40">
        <v>84899</v>
      </c>
      <c r="Q19" s="28">
        <v>70000</v>
      </c>
      <c r="R19" s="29">
        <f>P19/Q19</f>
        <v>1.2128428571428571</v>
      </c>
      <c r="S19" s="30">
        <v>33962</v>
      </c>
      <c r="T19" s="31">
        <v>0</v>
      </c>
      <c r="U19" s="32">
        <f t="shared" si="22"/>
        <v>118861</v>
      </c>
      <c r="V19" s="33">
        <v>0</v>
      </c>
      <c r="W19" s="34">
        <v>0</v>
      </c>
      <c r="X19" s="35">
        <v>0</v>
      </c>
      <c r="Y19" s="36">
        <v>0</v>
      </c>
      <c r="Z19" s="37">
        <v>61771</v>
      </c>
      <c r="AA19" s="38">
        <v>0</v>
      </c>
      <c r="AB19" s="38">
        <v>23128</v>
      </c>
      <c r="AC19" s="39">
        <f t="shared" si="23"/>
        <v>84899</v>
      </c>
      <c r="AD19" s="45">
        <v>357428</v>
      </c>
      <c r="AE19" s="28">
        <v>200000</v>
      </c>
      <c r="AF19" s="41">
        <f>AD19/AE19</f>
        <v>1.78714</v>
      </c>
      <c r="AG19" s="32">
        <f t="shared" si="24"/>
        <v>357428</v>
      </c>
      <c r="AH19" s="35">
        <v>0</v>
      </c>
      <c r="AI19" s="43">
        <v>0</v>
      </c>
      <c r="AJ19" s="35">
        <v>0</v>
      </c>
      <c r="AK19" s="43">
        <v>0</v>
      </c>
      <c r="AL19" s="44">
        <v>357428</v>
      </c>
      <c r="AM19" s="38">
        <v>0</v>
      </c>
      <c r="AN19" s="38">
        <v>0</v>
      </c>
      <c r="AO19" s="39">
        <f t="shared" si="25"/>
        <v>357428</v>
      </c>
      <c r="AP19" s="40">
        <f t="shared" si="26"/>
        <v>507002</v>
      </c>
      <c r="AQ19" s="28">
        <v>415000</v>
      </c>
      <c r="AR19" s="41">
        <f>AP19/AQ19</f>
        <v>1.2216915662650603</v>
      </c>
      <c r="AS19" s="30">
        <f t="shared" si="27"/>
        <v>240192</v>
      </c>
      <c r="AT19" s="30">
        <f t="shared" si="28"/>
        <v>0</v>
      </c>
      <c r="AU19" s="42">
        <f t="shared" si="29"/>
        <v>747194</v>
      </c>
      <c r="AV19" s="33">
        <f t="shared" si="30"/>
        <v>0</v>
      </c>
      <c r="AW19" s="46">
        <f t="shared" si="31"/>
        <v>0</v>
      </c>
      <c r="AX19" s="33">
        <f t="shared" si="32"/>
        <v>0</v>
      </c>
      <c r="AY19" s="47">
        <f t="shared" si="33"/>
        <v>0</v>
      </c>
      <c r="AZ19" s="48">
        <f t="shared" si="34"/>
        <v>483874</v>
      </c>
      <c r="BA19" s="49">
        <f t="shared" si="35"/>
        <v>0</v>
      </c>
      <c r="BB19" s="49">
        <f t="shared" si="36"/>
        <v>23128</v>
      </c>
      <c r="BC19" s="50">
        <f t="shared" si="37"/>
        <v>507002</v>
      </c>
      <c r="BD19" s="51"/>
    </row>
    <row r="20" spans="1:56" s="52" customFormat="1" ht="21.75" customHeight="1" x14ac:dyDescent="0.15">
      <c r="A20" s="53">
        <v>45304</v>
      </c>
      <c r="B20" s="27">
        <v>102247</v>
      </c>
      <c r="C20" s="28">
        <v>145000</v>
      </c>
      <c r="D20" s="29">
        <f>B20/C20</f>
        <v>0.70515172413793104</v>
      </c>
      <c r="E20" s="30">
        <v>286989</v>
      </c>
      <c r="F20" s="31">
        <v>114300</v>
      </c>
      <c r="G20" s="32">
        <f t="shared" si="20"/>
        <v>503536</v>
      </c>
      <c r="H20" s="33">
        <v>0</v>
      </c>
      <c r="I20" s="34">
        <v>0</v>
      </c>
      <c r="J20" s="35">
        <v>0</v>
      </c>
      <c r="K20" s="36">
        <v>11399</v>
      </c>
      <c r="L20" s="37">
        <v>51559</v>
      </c>
      <c r="M20" s="38">
        <v>50688</v>
      </c>
      <c r="N20" s="38">
        <v>0</v>
      </c>
      <c r="O20" s="39">
        <f t="shared" si="21"/>
        <v>102247</v>
      </c>
      <c r="P20" s="40">
        <v>41161</v>
      </c>
      <c r="Q20" s="28">
        <v>70000</v>
      </c>
      <c r="R20" s="29">
        <f>P20/Q20</f>
        <v>0.58801428571428571</v>
      </c>
      <c r="S20" s="30">
        <v>73361</v>
      </c>
      <c r="T20" s="31">
        <v>10100</v>
      </c>
      <c r="U20" s="32">
        <f t="shared" si="22"/>
        <v>124622</v>
      </c>
      <c r="V20" s="33">
        <v>0</v>
      </c>
      <c r="W20" s="34">
        <v>0</v>
      </c>
      <c r="X20" s="35">
        <v>0</v>
      </c>
      <c r="Y20" s="36">
        <v>0</v>
      </c>
      <c r="Z20" s="37">
        <v>35666</v>
      </c>
      <c r="AA20" s="38">
        <v>5495</v>
      </c>
      <c r="AB20" s="38">
        <v>0</v>
      </c>
      <c r="AC20" s="39">
        <f t="shared" si="23"/>
        <v>41161</v>
      </c>
      <c r="AD20" s="45">
        <v>313243</v>
      </c>
      <c r="AE20" s="28">
        <v>200000</v>
      </c>
      <c r="AF20" s="41">
        <f>AD20/AE20</f>
        <v>1.5662149999999999</v>
      </c>
      <c r="AG20" s="32">
        <f t="shared" si="24"/>
        <v>313243</v>
      </c>
      <c r="AH20" s="35">
        <v>0</v>
      </c>
      <c r="AI20" s="43">
        <v>0</v>
      </c>
      <c r="AJ20" s="35">
        <v>0</v>
      </c>
      <c r="AK20" s="43">
        <v>71342</v>
      </c>
      <c r="AL20" s="44">
        <v>261232</v>
      </c>
      <c r="AM20" s="38">
        <v>52011</v>
      </c>
      <c r="AN20" s="38">
        <v>0</v>
      </c>
      <c r="AO20" s="39">
        <f t="shared" si="25"/>
        <v>313243</v>
      </c>
      <c r="AP20" s="40">
        <f t="shared" si="26"/>
        <v>456651</v>
      </c>
      <c r="AQ20" s="28">
        <v>415000</v>
      </c>
      <c r="AR20" s="41">
        <f>AP20/AQ20</f>
        <v>1.1003638554216868</v>
      </c>
      <c r="AS20" s="30">
        <f t="shared" si="27"/>
        <v>360350</v>
      </c>
      <c r="AT20" s="30">
        <f t="shared" si="28"/>
        <v>124400</v>
      </c>
      <c r="AU20" s="42">
        <f t="shared" si="29"/>
        <v>941401</v>
      </c>
      <c r="AV20" s="33">
        <f t="shared" si="30"/>
        <v>0</v>
      </c>
      <c r="AW20" s="46">
        <f t="shared" si="31"/>
        <v>0</v>
      </c>
      <c r="AX20" s="33">
        <f t="shared" si="32"/>
        <v>0</v>
      </c>
      <c r="AY20" s="47">
        <f t="shared" si="33"/>
        <v>82741</v>
      </c>
      <c r="AZ20" s="48">
        <f t="shared" si="34"/>
        <v>348457</v>
      </c>
      <c r="BA20" s="49">
        <f t="shared" si="35"/>
        <v>108194</v>
      </c>
      <c r="BB20" s="49">
        <f t="shared" si="36"/>
        <v>0</v>
      </c>
      <c r="BC20" s="50">
        <f t="shared" si="37"/>
        <v>456651</v>
      </c>
      <c r="BD20" s="51"/>
    </row>
    <row r="21" spans="1:56" s="52" customFormat="1" ht="21.75" customHeight="1" x14ac:dyDescent="0.15">
      <c r="A21" s="53">
        <v>45305</v>
      </c>
      <c r="B21" s="27">
        <v>14558</v>
      </c>
      <c r="C21" s="28">
        <v>145000</v>
      </c>
      <c r="D21" s="29">
        <f>B21/C21</f>
        <v>0.1004</v>
      </c>
      <c r="E21" s="30">
        <v>220332</v>
      </c>
      <c r="F21" s="31">
        <v>206850</v>
      </c>
      <c r="G21" s="32">
        <f t="shared" si="20"/>
        <v>441740</v>
      </c>
      <c r="H21" s="33">
        <v>0</v>
      </c>
      <c r="I21" s="34">
        <v>0</v>
      </c>
      <c r="J21" s="35">
        <v>0</v>
      </c>
      <c r="K21" s="36">
        <v>0</v>
      </c>
      <c r="L21" s="37">
        <v>0</v>
      </c>
      <c r="M21" s="38">
        <v>14558</v>
      </c>
      <c r="N21" s="38">
        <v>0</v>
      </c>
      <c r="O21" s="39">
        <f t="shared" si="21"/>
        <v>14558</v>
      </c>
      <c r="P21" s="40">
        <v>115504</v>
      </c>
      <c r="Q21" s="28">
        <v>70000</v>
      </c>
      <c r="R21" s="29">
        <f>P21/Q21</f>
        <v>1.6500571428571429</v>
      </c>
      <c r="S21" s="30">
        <v>19314</v>
      </c>
      <c r="T21" s="31">
        <v>0</v>
      </c>
      <c r="U21" s="32">
        <f t="shared" si="22"/>
        <v>134818</v>
      </c>
      <c r="V21" s="33">
        <v>0</v>
      </c>
      <c r="W21" s="34">
        <v>0</v>
      </c>
      <c r="X21" s="35">
        <v>0</v>
      </c>
      <c r="Y21" s="36">
        <v>0</v>
      </c>
      <c r="Z21" s="37">
        <v>115504</v>
      </c>
      <c r="AA21" s="38">
        <v>0</v>
      </c>
      <c r="AB21" s="38">
        <v>0</v>
      </c>
      <c r="AC21" s="39">
        <f t="shared" si="23"/>
        <v>115504</v>
      </c>
      <c r="AD21" s="45">
        <v>297304</v>
      </c>
      <c r="AE21" s="28">
        <v>200000</v>
      </c>
      <c r="AF21" s="41">
        <f>AD21/AE21</f>
        <v>1.4865200000000001</v>
      </c>
      <c r="AG21" s="32">
        <f t="shared" si="24"/>
        <v>297304</v>
      </c>
      <c r="AH21" s="35">
        <v>0</v>
      </c>
      <c r="AI21" s="43">
        <v>0</v>
      </c>
      <c r="AJ21" s="35">
        <v>35671</v>
      </c>
      <c r="AK21" s="43">
        <v>0</v>
      </c>
      <c r="AL21" s="44">
        <v>297304</v>
      </c>
      <c r="AM21" s="38">
        <v>0</v>
      </c>
      <c r="AN21" s="38">
        <v>0</v>
      </c>
      <c r="AO21" s="39">
        <f t="shared" si="25"/>
        <v>297304</v>
      </c>
      <c r="AP21" s="40">
        <f t="shared" si="26"/>
        <v>427366</v>
      </c>
      <c r="AQ21" s="28">
        <v>415000</v>
      </c>
      <c r="AR21" s="41">
        <f>AP21/AQ21</f>
        <v>1.0297975903614458</v>
      </c>
      <c r="AS21" s="30">
        <f t="shared" si="27"/>
        <v>239646</v>
      </c>
      <c r="AT21" s="30">
        <f t="shared" si="28"/>
        <v>206850</v>
      </c>
      <c r="AU21" s="42">
        <f t="shared" si="29"/>
        <v>873862</v>
      </c>
      <c r="AV21" s="33">
        <f t="shared" si="30"/>
        <v>0</v>
      </c>
      <c r="AW21" s="46">
        <f t="shared" si="31"/>
        <v>0</v>
      </c>
      <c r="AX21" s="33">
        <f t="shared" si="32"/>
        <v>35671</v>
      </c>
      <c r="AY21" s="47">
        <f t="shared" si="33"/>
        <v>0</v>
      </c>
      <c r="AZ21" s="48">
        <f t="shared" si="34"/>
        <v>412808</v>
      </c>
      <c r="BA21" s="49">
        <f t="shared" si="35"/>
        <v>14558</v>
      </c>
      <c r="BB21" s="49">
        <f t="shared" si="36"/>
        <v>0</v>
      </c>
      <c r="BC21" s="50">
        <f t="shared" si="37"/>
        <v>427366</v>
      </c>
      <c r="BD21" s="51"/>
    </row>
    <row r="22" spans="1:56" s="52" customFormat="1" ht="21.75" customHeight="1" x14ac:dyDescent="0.15">
      <c r="A22" s="53">
        <v>45306</v>
      </c>
      <c r="B22" s="27">
        <v>107314</v>
      </c>
      <c r="C22" s="28">
        <v>145000</v>
      </c>
      <c r="D22" s="29">
        <f>B22/C22</f>
        <v>0.74009655172413791</v>
      </c>
      <c r="E22" s="30">
        <v>186912</v>
      </c>
      <c r="F22" s="31">
        <v>290105</v>
      </c>
      <c r="G22" s="32">
        <f t="shared" si="20"/>
        <v>584331</v>
      </c>
      <c r="H22" s="33">
        <v>0</v>
      </c>
      <c r="I22" s="34">
        <v>0</v>
      </c>
      <c r="J22" s="35">
        <v>0</v>
      </c>
      <c r="K22" s="36">
        <v>0</v>
      </c>
      <c r="L22" s="37">
        <v>107314</v>
      </c>
      <c r="M22" s="38">
        <v>0</v>
      </c>
      <c r="N22" s="38">
        <v>0</v>
      </c>
      <c r="O22" s="39">
        <f t="shared" si="21"/>
        <v>107314</v>
      </c>
      <c r="P22" s="40">
        <v>116218</v>
      </c>
      <c r="Q22" s="28">
        <v>70000</v>
      </c>
      <c r="R22" s="29">
        <f>P22/Q22</f>
        <v>1.6602571428571429</v>
      </c>
      <c r="S22" s="30">
        <v>0</v>
      </c>
      <c r="T22" s="31">
        <v>0</v>
      </c>
      <c r="U22" s="32">
        <f t="shared" si="22"/>
        <v>116218</v>
      </c>
      <c r="V22" s="33">
        <v>0</v>
      </c>
      <c r="W22" s="34">
        <v>0</v>
      </c>
      <c r="X22" s="35">
        <v>14762</v>
      </c>
      <c r="Y22" s="36">
        <v>6671</v>
      </c>
      <c r="Z22" s="37">
        <v>116218</v>
      </c>
      <c r="AA22" s="38">
        <v>0</v>
      </c>
      <c r="AB22" s="38">
        <v>0</v>
      </c>
      <c r="AC22" s="39">
        <f t="shared" si="23"/>
        <v>116218</v>
      </c>
      <c r="AD22" s="45">
        <v>247016</v>
      </c>
      <c r="AE22" s="28">
        <v>200000</v>
      </c>
      <c r="AF22" s="41">
        <f>AD22/AE22</f>
        <v>1.23508</v>
      </c>
      <c r="AG22" s="32">
        <f t="shared" si="24"/>
        <v>247016</v>
      </c>
      <c r="AH22" s="35">
        <v>0</v>
      </c>
      <c r="AI22" s="43">
        <v>0</v>
      </c>
      <c r="AJ22" s="35">
        <v>0</v>
      </c>
      <c r="AK22" s="43">
        <v>0</v>
      </c>
      <c r="AL22" s="44">
        <v>175262</v>
      </c>
      <c r="AM22" s="38">
        <v>71754</v>
      </c>
      <c r="AN22" s="38">
        <v>0</v>
      </c>
      <c r="AO22" s="39">
        <f t="shared" si="25"/>
        <v>247016</v>
      </c>
      <c r="AP22" s="40">
        <f t="shared" si="26"/>
        <v>470548</v>
      </c>
      <c r="AQ22" s="28">
        <v>415000</v>
      </c>
      <c r="AR22" s="41">
        <f>AP22/AQ22</f>
        <v>1.1338506024096386</v>
      </c>
      <c r="AS22" s="30">
        <f t="shared" si="27"/>
        <v>186912</v>
      </c>
      <c r="AT22" s="30">
        <f t="shared" si="28"/>
        <v>290105</v>
      </c>
      <c r="AU22" s="42">
        <f t="shared" si="29"/>
        <v>947565</v>
      </c>
      <c r="AV22" s="33">
        <f t="shared" si="30"/>
        <v>0</v>
      </c>
      <c r="AW22" s="46">
        <f t="shared" si="31"/>
        <v>0</v>
      </c>
      <c r="AX22" s="33">
        <f t="shared" si="32"/>
        <v>14762</v>
      </c>
      <c r="AY22" s="47">
        <f t="shared" si="33"/>
        <v>6671</v>
      </c>
      <c r="AZ22" s="48">
        <f t="shared" si="34"/>
        <v>398794</v>
      </c>
      <c r="BA22" s="49">
        <f t="shared" si="35"/>
        <v>71754</v>
      </c>
      <c r="BB22" s="49">
        <f t="shared" si="36"/>
        <v>0</v>
      </c>
      <c r="BC22" s="50">
        <f t="shared" si="37"/>
        <v>470548</v>
      </c>
      <c r="BD22" s="51"/>
    </row>
    <row r="23" spans="1:56" s="52" customFormat="1" ht="21.75" customHeight="1" x14ac:dyDescent="0.15">
      <c r="A23" s="53">
        <v>45307</v>
      </c>
      <c r="B23" s="27">
        <v>79354</v>
      </c>
      <c r="C23" s="28">
        <v>145000</v>
      </c>
      <c r="D23" s="29">
        <f>B23/C23</f>
        <v>0.54726896551724136</v>
      </c>
      <c r="E23" s="30">
        <v>204806</v>
      </c>
      <c r="F23" s="31">
        <v>200400</v>
      </c>
      <c r="G23" s="32">
        <f t="shared" si="20"/>
        <v>484560</v>
      </c>
      <c r="H23" s="33">
        <v>0</v>
      </c>
      <c r="I23" s="34">
        <v>0</v>
      </c>
      <c r="J23" s="35">
        <v>0</v>
      </c>
      <c r="K23" s="36">
        <v>0</v>
      </c>
      <c r="L23" s="37">
        <v>79354</v>
      </c>
      <c r="M23" s="38">
        <v>0</v>
      </c>
      <c r="N23" s="38">
        <v>0</v>
      </c>
      <c r="O23" s="39">
        <f t="shared" si="21"/>
        <v>79354</v>
      </c>
      <c r="P23" s="40">
        <v>84160</v>
      </c>
      <c r="Q23" s="28">
        <v>70000</v>
      </c>
      <c r="R23" s="29">
        <f>P23/Q23</f>
        <v>1.2022857142857142</v>
      </c>
      <c r="S23" s="30">
        <v>0</v>
      </c>
      <c r="T23" s="31">
        <v>0</v>
      </c>
      <c r="U23" s="32">
        <f t="shared" si="22"/>
        <v>84160</v>
      </c>
      <c r="V23" s="33">
        <v>0</v>
      </c>
      <c r="W23" s="34">
        <v>0</v>
      </c>
      <c r="X23" s="35">
        <v>0</v>
      </c>
      <c r="Y23" s="36">
        <v>0</v>
      </c>
      <c r="Z23" s="37">
        <v>0</v>
      </c>
      <c r="AA23" s="38">
        <v>84160</v>
      </c>
      <c r="AB23" s="38">
        <v>0</v>
      </c>
      <c r="AC23" s="39">
        <f t="shared" si="23"/>
        <v>84160</v>
      </c>
      <c r="AD23" s="45">
        <v>93456</v>
      </c>
      <c r="AE23" s="28">
        <v>200000</v>
      </c>
      <c r="AF23" s="41">
        <f>AD23/AE23</f>
        <v>0.46727999999999997</v>
      </c>
      <c r="AG23" s="32">
        <f t="shared" si="24"/>
        <v>93456</v>
      </c>
      <c r="AH23" s="35">
        <v>0</v>
      </c>
      <c r="AI23" s="43">
        <v>0</v>
      </c>
      <c r="AJ23" s="35">
        <v>0</v>
      </c>
      <c r="AK23" s="43">
        <v>0</v>
      </c>
      <c r="AL23" s="44">
        <v>93456</v>
      </c>
      <c r="AM23" s="38">
        <v>0</v>
      </c>
      <c r="AN23" s="38">
        <v>0</v>
      </c>
      <c r="AO23" s="39">
        <f t="shared" si="25"/>
        <v>93456</v>
      </c>
      <c r="AP23" s="40">
        <f t="shared" si="26"/>
        <v>256970</v>
      </c>
      <c r="AQ23" s="28">
        <v>415000</v>
      </c>
      <c r="AR23" s="41">
        <f>AP23/AQ23</f>
        <v>0.61920481927710846</v>
      </c>
      <c r="AS23" s="30">
        <f t="shared" si="27"/>
        <v>204806</v>
      </c>
      <c r="AT23" s="30">
        <f t="shared" si="28"/>
        <v>200400</v>
      </c>
      <c r="AU23" s="42">
        <f t="shared" si="29"/>
        <v>662176</v>
      </c>
      <c r="AV23" s="33">
        <f t="shared" si="30"/>
        <v>0</v>
      </c>
      <c r="AW23" s="46">
        <f t="shared" si="31"/>
        <v>0</v>
      </c>
      <c r="AX23" s="33">
        <f t="shared" si="32"/>
        <v>0</v>
      </c>
      <c r="AY23" s="47">
        <f t="shared" si="33"/>
        <v>0</v>
      </c>
      <c r="AZ23" s="48">
        <f t="shared" si="34"/>
        <v>172810</v>
      </c>
      <c r="BA23" s="49">
        <f t="shared" si="35"/>
        <v>84160</v>
      </c>
      <c r="BB23" s="49">
        <f t="shared" si="36"/>
        <v>0</v>
      </c>
      <c r="BC23" s="50">
        <f t="shared" si="37"/>
        <v>256970</v>
      </c>
      <c r="BD23" s="51"/>
    </row>
    <row r="24" spans="1:56" s="52" customFormat="1" ht="21.75" customHeight="1" x14ac:dyDescent="0.15">
      <c r="A24" s="26">
        <v>45308</v>
      </c>
      <c r="B24" s="27">
        <v>0</v>
      </c>
      <c r="C24" s="28">
        <v>0</v>
      </c>
      <c r="D24" s="29">
        <v>0</v>
      </c>
      <c r="E24" s="30">
        <v>0</v>
      </c>
      <c r="F24" s="31">
        <v>0</v>
      </c>
      <c r="G24" s="32">
        <f t="shared" ref="G24:G37" si="38">B24+E24+F24</f>
        <v>0</v>
      </c>
      <c r="H24" s="33">
        <v>0</v>
      </c>
      <c r="I24" s="34">
        <v>0</v>
      </c>
      <c r="J24" s="35">
        <v>0</v>
      </c>
      <c r="K24" s="36">
        <v>0</v>
      </c>
      <c r="L24" s="37">
        <v>0</v>
      </c>
      <c r="M24" s="38">
        <v>0</v>
      </c>
      <c r="N24" s="38">
        <v>0</v>
      </c>
      <c r="O24" s="39">
        <f t="shared" ref="O24:O37" si="39">SUM(L24:N24)</f>
        <v>0</v>
      </c>
      <c r="P24" s="40">
        <v>22188</v>
      </c>
      <c r="Q24" s="28">
        <v>0</v>
      </c>
      <c r="R24" s="29">
        <v>0</v>
      </c>
      <c r="S24" s="30">
        <v>0</v>
      </c>
      <c r="T24" s="31">
        <v>0</v>
      </c>
      <c r="U24" s="32">
        <f t="shared" ref="U24:U37" si="40">P24+S24+T24</f>
        <v>22188</v>
      </c>
      <c r="V24" s="33">
        <v>0</v>
      </c>
      <c r="W24" s="34">
        <v>0</v>
      </c>
      <c r="X24" s="35">
        <v>0</v>
      </c>
      <c r="Y24" s="36">
        <v>0</v>
      </c>
      <c r="Z24" s="37">
        <v>0</v>
      </c>
      <c r="AA24" s="38">
        <v>22188</v>
      </c>
      <c r="AB24" s="38">
        <v>0</v>
      </c>
      <c r="AC24" s="39">
        <f t="shared" ref="AC24:AC37" si="41">SUM(Z24:AB24)</f>
        <v>22188</v>
      </c>
      <c r="AD24" s="45">
        <v>0</v>
      </c>
      <c r="AE24" s="28">
        <v>0</v>
      </c>
      <c r="AF24" s="41">
        <v>0</v>
      </c>
      <c r="AG24" s="32">
        <f t="shared" ref="AG24:AG37" si="42">AD24</f>
        <v>0</v>
      </c>
      <c r="AH24" s="35">
        <v>0</v>
      </c>
      <c r="AI24" s="43">
        <v>0</v>
      </c>
      <c r="AJ24" s="35">
        <v>0</v>
      </c>
      <c r="AK24" s="43">
        <v>0</v>
      </c>
      <c r="AL24" s="44">
        <v>0</v>
      </c>
      <c r="AM24" s="38">
        <v>0</v>
      </c>
      <c r="AN24" s="38">
        <v>0</v>
      </c>
      <c r="AO24" s="39">
        <f t="shared" ref="AO24:AO37" si="43">SUM(AL24:AN24)</f>
        <v>0</v>
      </c>
      <c r="AP24" s="40">
        <f t="shared" ref="AP24:AP37" si="44">AD24+P24+B24</f>
        <v>22188</v>
      </c>
      <c r="AQ24" s="28">
        <v>0</v>
      </c>
      <c r="AR24" s="41">
        <v>0</v>
      </c>
      <c r="AS24" s="30">
        <f t="shared" ref="AS24:AS35" si="45">E24+S24</f>
        <v>0</v>
      </c>
      <c r="AT24" s="30">
        <f t="shared" ref="AT24:AT35" si="46">F24+T24</f>
        <v>0</v>
      </c>
      <c r="AU24" s="42">
        <f t="shared" ref="AU24:AU35" si="47">AP24+AS24+AT24</f>
        <v>22188</v>
      </c>
      <c r="AV24" s="33">
        <f t="shared" ref="AV24:AV35" si="48">SUM(H24,V24,AH24)</f>
        <v>0</v>
      </c>
      <c r="AW24" s="46">
        <f t="shared" ref="AW24:AW35" si="49">SUM(I24,W24,AI24)</f>
        <v>0</v>
      </c>
      <c r="AX24" s="33">
        <f t="shared" ref="AX24:AX35" si="50">SUM(J24,X24,AJ24)</f>
        <v>0</v>
      </c>
      <c r="AY24" s="46">
        <f t="shared" ref="AY24:AY35" si="51">SUM(K24,Y24,AK24)</f>
        <v>0</v>
      </c>
      <c r="AZ24" s="48">
        <f t="shared" ref="AZ24:AZ35" si="52">L24+Z24+AL24</f>
        <v>0</v>
      </c>
      <c r="BA24" s="49">
        <f t="shared" ref="BA24:BA35" si="53">M24+AA24+AM24</f>
        <v>22188</v>
      </c>
      <c r="BB24" s="49">
        <f t="shared" ref="BB24:BB35" si="54">N24+AB24+AN24</f>
        <v>0</v>
      </c>
      <c r="BC24" s="50">
        <f t="shared" ref="BC24:BC35" si="55">SUM(AZ24:BB24)</f>
        <v>22188</v>
      </c>
      <c r="BD24" s="51"/>
    </row>
    <row r="25" spans="1:56" s="52" customFormat="1" ht="21.75" customHeight="1" x14ac:dyDescent="0.15">
      <c r="A25" s="26">
        <v>45309</v>
      </c>
      <c r="B25" s="27">
        <v>0</v>
      </c>
      <c r="C25" s="28">
        <v>0</v>
      </c>
      <c r="D25" s="29">
        <v>0</v>
      </c>
      <c r="E25" s="30">
        <v>0</v>
      </c>
      <c r="F25" s="31">
        <v>0</v>
      </c>
      <c r="G25" s="32">
        <f t="shared" si="38"/>
        <v>0</v>
      </c>
      <c r="H25" s="33">
        <v>0</v>
      </c>
      <c r="I25" s="34">
        <v>0</v>
      </c>
      <c r="J25" s="35">
        <v>0</v>
      </c>
      <c r="K25" s="36">
        <v>0</v>
      </c>
      <c r="L25" s="37">
        <v>0</v>
      </c>
      <c r="M25" s="38">
        <v>0</v>
      </c>
      <c r="N25" s="38">
        <v>0</v>
      </c>
      <c r="O25" s="39">
        <f t="shared" si="39"/>
        <v>0</v>
      </c>
      <c r="P25" s="40">
        <v>0</v>
      </c>
      <c r="Q25" s="28">
        <v>0</v>
      </c>
      <c r="R25" s="29">
        <v>0</v>
      </c>
      <c r="S25" s="30">
        <v>0</v>
      </c>
      <c r="T25" s="31">
        <v>0</v>
      </c>
      <c r="U25" s="32">
        <f t="shared" si="40"/>
        <v>0</v>
      </c>
      <c r="V25" s="33">
        <v>0</v>
      </c>
      <c r="W25" s="34">
        <v>0</v>
      </c>
      <c r="X25" s="35">
        <v>0</v>
      </c>
      <c r="Y25" s="36">
        <v>0</v>
      </c>
      <c r="Z25" s="37">
        <v>0</v>
      </c>
      <c r="AA25" s="38">
        <v>0</v>
      </c>
      <c r="AB25" s="38">
        <v>0</v>
      </c>
      <c r="AC25" s="39">
        <f t="shared" si="41"/>
        <v>0</v>
      </c>
      <c r="AD25" s="45">
        <v>0</v>
      </c>
      <c r="AE25" s="28">
        <v>0</v>
      </c>
      <c r="AF25" s="41">
        <v>0</v>
      </c>
      <c r="AG25" s="32">
        <f t="shared" si="42"/>
        <v>0</v>
      </c>
      <c r="AH25" s="35">
        <v>0</v>
      </c>
      <c r="AI25" s="43">
        <v>0</v>
      </c>
      <c r="AJ25" s="35">
        <v>0</v>
      </c>
      <c r="AK25" s="43">
        <v>0</v>
      </c>
      <c r="AL25" s="44">
        <v>0</v>
      </c>
      <c r="AM25" s="38">
        <v>0</v>
      </c>
      <c r="AN25" s="38">
        <v>0</v>
      </c>
      <c r="AO25" s="39">
        <f t="shared" si="43"/>
        <v>0</v>
      </c>
      <c r="AP25" s="40">
        <f t="shared" si="44"/>
        <v>0</v>
      </c>
      <c r="AQ25" s="28">
        <v>0</v>
      </c>
      <c r="AR25" s="41">
        <v>0</v>
      </c>
      <c r="AS25" s="30">
        <f t="shared" si="45"/>
        <v>0</v>
      </c>
      <c r="AT25" s="30">
        <f t="shared" si="46"/>
        <v>0</v>
      </c>
      <c r="AU25" s="42">
        <f t="shared" si="47"/>
        <v>0</v>
      </c>
      <c r="AV25" s="33">
        <f t="shared" si="48"/>
        <v>0</v>
      </c>
      <c r="AW25" s="46">
        <f t="shared" si="49"/>
        <v>0</v>
      </c>
      <c r="AX25" s="33">
        <f t="shared" si="50"/>
        <v>0</v>
      </c>
      <c r="AY25" s="46">
        <f t="shared" si="51"/>
        <v>0</v>
      </c>
      <c r="AZ25" s="48">
        <f t="shared" si="52"/>
        <v>0</v>
      </c>
      <c r="BA25" s="49">
        <f t="shared" si="53"/>
        <v>0</v>
      </c>
      <c r="BB25" s="49">
        <f t="shared" si="54"/>
        <v>0</v>
      </c>
      <c r="BC25" s="50">
        <f t="shared" si="55"/>
        <v>0</v>
      </c>
      <c r="BD25" s="51"/>
    </row>
    <row r="26" spans="1:56" s="52" customFormat="1" ht="21.75" customHeight="1" x14ac:dyDescent="0.15">
      <c r="A26" s="53">
        <v>45310</v>
      </c>
      <c r="B26" s="27">
        <v>99366</v>
      </c>
      <c r="C26" s="28">
        <v>145000</v>
      </c>
      <c r="D26" s="29">
        <f>B26/C26</f>
        <v>0.68528275862068966</v>
      </c>
      <c r="E26" s="30">
        <v>93968</v>
      </c>
      <c r="F26" s="31">
        <v>410000</v>
      </c>
      <c r="G26" s="32">
        <f t="shared" si="38"/>
        <v>603334</v>
      </c>
      <c r="H26" s="33">
        <v>0</v>
      </c>
      <c r="I26" s="34">
        <v>0</v>
      </c>
      <c r="J26" s="35">
        <v>0</v>
      </c>
      <c r="K26" s="36">
        <v>0</v>
      </c>
      <c r="L26" s="37">
        <v>0</v>
      </c>
      <c r="M26" s="38">
        <v>99366</v>
      </c>
      <c r="N26" s="38">
        <v>0</v>
      </c>
      <c r="O26" s="39">
        <f t="shared" si="39"/>
        <v>99366</v>
      </c>
      <c r="P26" s="40">
        <v>81080</v>
      </c>
      <c r="Q26" s="28">
        <v>70000</v>
      </c>
      <c r="R26" s="29">
        <f>P26/Q26</f>
        <v>1.1582857142857144</v>
      </c>
      <c r="S26" s="30">
        <v>0</v>
      </c>
      <c r="T26" s="31">
        <v>0</v>
      </c>
      <c r="U26" s="32">
        <f t="shared" si="40"/>
        <v>81080</v>
      </c>
      <c r="V26" s="33">
        <v>0</v>
      </c>
      <c r="W26" s="34">
        <v>0</v>
      </c>
      <c r="X26" s="35">
        <v>0</v>
      </c>
      <c r="Y26" s="36">
        <v>0</v>
      </c>
      <c r="Z26" s="37">
        <v>0</v>
      </c>
      <c r="AA26" s="38">
        <v>76709</v>
      </c>
      <c r="AB26" s="38">
        <v>4371</v>
      </c>
      <c r="AC26" s="39">
        <f t="shared" si="41"/>
        <v>81080</v>
      </c>
      <c r="AD26" s="45">
        <v>240546</v>
      </c>
      <c r="AE26" s="28">
        <v>200000</v>
      </c>
      <c r="AF26" s="41">
        <f>AD26/AE26</f>
        <v>1.2027300000000001</v>
      </c>
      <c r="AG26" s="32">
        <f t="shared" si="42"/>
        <v>240546</v>
      </c>
      <c r="AH26" s="35">
        <v>0</v>
      </c>
      <c r="AI26" s="43">
        <v>0</v>
      </c>
      <c r="AJ26" s="35">
        <v>0</v>
      </c>
      <c r="AK26" s="43">
        <v>0</v>
      </c>
      <c r="AL26" s="44">
        <v>240546</v>
      </c>
      <c r="AM26" s="38">
        <v>0</v>
      </c>
      <c r="AN26" s="38">
        <v>0</v>
      </c>
      <c r="AO26" s="39">
        <f t="shared" si="43"/>
        <v>240546</v>
      </c>
      <c r="AP26" s="40">
        <f t="shared" si="44"/>
        <v>420992</v>
      </c>
      <c r="AQ26" s="28">
        <v>415000</v>
      </c>
      <c r="AR26" s="41">
        <f>AP26/AQ26</f>
        <v>1.0144385542168675</v>
      </c>
      <c r="AS26" s="30">
        <f t="shared" si="45"/>
        <v>93968</v>
      </c>
      <c r="AT26" s="30">
        <f t="shared" si="46"/>
        <v>410000</v>
      </c>
      <c r="AU26" s="42">
        <f t="shared" si="47"/>
        <v>924960</v>
      </c>
      <c r="AV26" s="33">
        <f t="shared" si="48"/>
        <v>0</v>
      </c>
      <c r="AW26" s="46">
        <f t="shared" si="49"/>
        <v>0</v>
      </c>
      <c r="AX26" s="33">
        <f t="shared" si="50"/>
        <v>0</v>
      </c>
      <c r="AY26" s="47">
        <f t="shared" si="51"/>
        <v>0</v>
      </c>
      <c r="AZ26" s="48">
        <f t="shared" si="52"/>
        <v>240546</v>
      </c>
      <c r="BA26" s="49">
        <f t="shared" si="53"/>
        <v>176075</v>
      </c>
      <c r="BB26" s="49">
        <f t="shared" si="54"/>
        <v>4371</v>
      </c>
      <c r="BC26" s="50">
        <f t="shared" si="55"/>
        <v>420992</v>
      </c>
      <c r="BD26" s="51"/>
    </row>
    <row r="27" spans="1:56" s="52" customFormat="1" ht="21.75" customHeight="1" x14ac:dyDescent="0.15">
      <c r="A27" s="53">
        <v>45311</v>
      </c>
      <c r="B27" s="27">
        <v>148176</v>
      </c>
      <c r="C27" s="28">
        <v>145000</v>
      </c>
      <c r="D27" s="29">
        <f>B27/C27</f>
        <v>1.021903448275862</v>
      </c>
      <c r="E27" s="30">
        <v>160788</v>
      </c>
      <c r="F27" s="31">
        <v>40600</v>
      </c>
      <c r="G27" s="32">
        <f t="shared" si="38"/>
        <v>349564</v>
      </c>
      <c r="H27" s="33">
        <v>0</v>
      </c>
      <c r="I27" s="34">
        <v>0</v>
      </c>
      <c r="J27" s="35">
        <v>0</v>
      </c>
      <c r="K27" s="36">
        <v>0</v>
      </c>
      <c r="L27" s="37">
        <v>47660</v>
      </c>
      <c r="M27" s="38">
        <v>100516</v>
      </c>
      <c r="N27" s="38">
        <v>0</v>
      </c>
      <c r="O27" s="39">
        <f t="shared" si="39"/>
        <v>148176</v>
      </c>
      <c r="P27" s="40">
        <v>64191</v>
      </c>
      <c r="Q27" s="28">
        <v>70000</v>
      </c>
      <c r="R27" s="29">
        <f>P27/Q27</f>
        <v>0.91701428571428567</v>
      </c>
      <c r="S27" s="30">
        <v>5165</v>
      </c>
      <c r="T27" s="31">
        <v>0</v>
      </c>
      <c r="U27" s="32">
        <f t="shared" si="40"/>
        <v>69356</v>
      </c>
      <c r="V27" s="33">
        <v>0</v>
      </c>
      <c r="W27" s="34">
        <v>0</v>
      </c>
      <c r="X27" s="35">
        <v>0</v>
      </c>
      <c r="Y27" s="36">
        <v>0</v>
      </c>
      <c r="Z27" s="37">
        <v>0</v>
      </c>
      <c r="AA27" s="38">
        <v>64191</v>
      </c>
      <c r="AB27" s="38">
        <v>0</v>
      </c>
      <c r="AC27" s="39">
        <f t="shared" si="41"/>
        <v>64191</v>
      </c>
      <c r="AD27" s="45">
        <v>150870</v>
      </c>
      <c r="AE27" s="28">
        <v>200000</v>
      </c>
      <c r="AF27" s="41">
        <f>AD27/AE27</f>
        <v>0.75434999999999997</v>
      </c>
      <c r="AG27" s="32">
        <f t="shared" si="42"/>
        <v>150870</v>
      </c>
      <c r="AH27" s="35">
        <v>0</v>
      </c>
      <c r="AI27" s="43">
        <v>0</v>
      </c>
      <c r="AJ27" s="35">
        <v>0</v>
      </c>
      <c r="AK27" s="43">
        <v>0</v>
      </c>
      <c r="AL27" s="44">
        <v>150870</v>
      </c>
      <c r="AM27" s="38">
        <v>0</v>
      </c>
      <c r="AN27" s="38">
        <v>0</v>
      </c>
      <c r="AO27" s="39">
        <f t="shared" si="43"/>
        <v>150870</v>
      </c>
      <c r="AP27" s="40">
        <f t="shared" si="44"/>
        <v>363237</v>
      </c>
      <c r="AQ27" s="28">
        <v>415000</v>
      </c>
      <c r="AR27" s="41">
        <f>AP27/AQ27</f>
        <v>0.87526987951807234</v>
      </c>
      <c r="AS27" s="30">
        <f t="shared" si="45"/>
        <v>165953</v>
      </c>
      <c r="AT27" s="30">
        <f t="shared" si="46"/>
        <v>40600</v>
      </c>
      <c r="AU27" s="42">
        <f t="shared" si="47"/>
        <v>569790</v>
      </c>
      <c r="AV27" s="33">
        <f t="shared" si="48"/>
        <v>0</v>
      </c>
      <c r="AW27" s="46">
        <f t="shared" si="49"/>
        <v>0</v>
      </c>
      <c r="AX27" s="33">
        <f t="shared" si="50"/>
        <v>0</v>
      </c>
      <c r="AY27" s="47">
        <f t="shared" si="51"/>
        <v>0</v>
      </c>
      <c r="AZ27" s="48">
        <f t="shared" si="52"/>
        <v>198530</v>
      </c>
      <c r="BA27" s="49">
        <f t="shared" si="53"/>
        <v>164707</v>
      </c>
      <c r="BB27" s="49">
        <f t="shared" si="54"/>
        <v>0</v>
      </c>
      <c r="BC27" s="50">
        <f t="shared" si="55"/>
        <v>363237</v>
      </c>
      <c r="BD27" s="51"/>
    </row>
    <row r="28" spans="1:56" s="52" customFormat="1" ht="21.75" customHeight="1" x14ac:dyDescent="0.15">
      <c r="A28" s="53">
        <v>45312</v>
      </c>
      <c r="B28" s="27">
        <v>54150</v>
      </c>
      <c r="C28" s="28">
        <v>145000</v>
      </c>
      <c r="D28" s="29">
        <f>B28/C28</f>
        <v>0.37344827586206897</v>
      </c>
      <c r="E28" s="30">
        <v>225058</v>
      </c>
      <c r="F28" s="31">
        <v>110900</v>
      </c>
      <c r="G28" s="32">
        <f t="shared" si="38"/>
        <v>390108</v>
      </c>
      <c r="H28" s="33">
        <v>0</v>
      </c>
      <c r="I28" s="34">
        <v>0</v>
      </c>
      <c r="J28" s="35">
        <v>0</v>
      </c>
      <c r="K28" s="36">
        <v>0</v>
      </c>
      <c r="L28" s="37">
        <v>54150</v>
      </c>
      <c r="M28" s="38">
        <v>0</v>
      </c>
      <c r="N28" s="38">
        <v>0</v>
      </c>
      <c r="O28" s="39">
        <f t="shared" si="39"/>
        <v>54150</v>
      </c>
      <c r="P28" s="40">
        <v>58230</v>
      </c>
      <c r="Q28" s="28">
        <v>70000</v>
      </c>
      <c r="R28" s="29">
        <f>P28/Q28</f>
        <v>0.83185714285714285</v>
      </c>
      <c r="S28" s="30">
        <v>13146</v>
      </c>
      <c r="T28" s="31">
        <v>86750</v>
      </c>
      <c r="U28" s="32">
        <f t="shared" si="40"/>
        <v>158126</v>
      </c>
      <c r="V28" s="33">
        <v>0</v>
      </c>
      <c r="W28" s="34">
        <v>0</v>
      </c>
      <c r="X28" s="35">
        <v>0</v>
      </c>
      <c r="Y28" s="36">
        <v>0</v>
      </c>
      <c r="Z28" s="37">
        <v>50773</v>
      </c>
      <c r="AA28" s="38">
        <v>7457</v>
      </c>
      <c r="AB28" s="38">
        <v>0</v>
      </c>
      <c r="AC28" s="39">
        <f t="shared" si="41"/>
        <v>58230</v>
      </c>
      <c r="AD28" s="45">
        <v>261459</v>
      </c>
      <c r="AE28" s="28">
        <v>200000</v>
      </c>
      <c r="AF28" s="41">
        <f>AD28/AE28</f>
        <v>1.3072950000000001</v>
      </c>
      <c r="AG28" s="32">
        <f t="shared" si="42"/>
        <v>261459</v>
      </c>
      <c r="AH28" s="35">
        <v>0</v>
      </c>
      <c r="AI28" s="43">
        <v>0</v>
      </c>
      <c r="AJ28" s="35">
        <v>0</v>
      </c>
      <c r="AK28" s="43">
        <v>0</v>
      </c>
      <c r="AL28" s="44">
        <v>196664</v>
      </c>
      <c r="AM28" s="38">
        <v>64795</v>
      </c>
      <c r="AN28" s="38">
        <v>0</v>
      </c>
      <c r="AO28" s="39">
        <f t="shared" si="43"/>
        <v>261459</v>
      </c>
      <c r="AP28" s="40">
        <f t="shared" si="44"/>
        <v>373839</v>
      </c>
      <c r="AQ28" s="28">
        <v>415000</v>
      </c>
      <c r="AR28" s="41">
        <f>AP28/AQ28</f>
        <v>0.90081686746987955</v>
      </c>
      <c r="AS28" s="30">
        <f t="shared" si="45"/>
        <v>238204</v>
      </c>
      <c r="AT28" s="30">
        <f t="shared" si="46"/>
        <v>197650</v>
      </c>
      <c r="AU28" s="42">
        <f t="shared" si="47"/>
        <v>809693</v>
      </c>
      <c r="AV28" s="33">
        <f t="shared" si="48"/>
        <v>0</v>
      </c>
      <c r="AW28" s="46">
        <f t="shared" si="49"/>
        <v>0</v>
      </c>
      <c r="AX28" s="33">
        <f t="shared" si="50"/>
        <v>0</v>
      </c>
      <c r="AY28" s="47">
        <f t="shared" si="51"/>
        <v>0</v>
      </c>
      <c r="AZ28" s="48">
        <f t="shared" si="52"/>
        <v>301587</v>
      </c>
      <c r="BA28" s="49">
        <f t="shared" si="53"/>
        <v>72252</v>
      </c>
      <c r="BB28" s="49">
        <f t="shared" si="54"/>
        <v>0</v>
      </c>
      <c r="BC28" s="50">
        <f t="shared" si="55"/>
        <v>373839</v>
      </c>
      <c r="BD28" s="51"/>
    </row>
    <row r="29" spans="1:56" s="52" customFormat="1" ht="21.75" customHeight="1" x14ac:dyDescent="0.15">
      <c r="A29" s="53">
        <v>45313</v>
      </c>
      <c r="B29" s="27">
        <v>110854</v>
      </c>
      <c r="C29" s="28">
        <v>145000</v>
      </c>
      <c r="D29" s="29">
        <f>B29/C29</f>
        <v>0.76451034482758617</v>
      </c>
      <c r="E29" s="30">
        <v>157420</v>
      </c>
      <c r="F29" s="31">
        <v>267905</v>
      </c>
      <c r="G29" s="32">
        <f t="shared" si="38"/>
        <v>536179</v>
      </c>
      <c r="H29" s="33">
        <v>0</v>
      </c>
      <c r="I29" s="34">
        <v>0</v>
      </c>
      <c r="J29" s="35">
        <v>0</v>
      </c>
      <c r="K29" s="36">
        <v>0</v>
      </c>
      <c r="L29" s="37">
        <v>36100</v>
      </c>
      <c r="M29" s="38">
        <v>45276</v>
      </c>
      <c r="N29" s="38">
        <v>29478</v>
      </c>
      <c r="O29" s="39">
        <f t="shared" si="39"/>
        <v>110854</v>
      </c>
      <c r="P29" s="40">
        <v>66139</v>
      </c>
      <c r="Q29" s="28">
        <v>70000</v>
      </c>
      <c r="R29" s="29">
        <f>P29/Q29</f>
        <v>0.9448428571428571</v>
      </c>
      <c r="S29" s="30">
        <v>0</v>
      </c>
      <c r="T29" s="31">
        <v>0</v>
      </c>
      <c r="U29" s="32">
        <f t="shared" si="40"/>
        <v>66139</v>
      </c>
      <c r="V29" s="33">
        <v>0</v>
      </c>
      <c r="W29" s="34">
        <v>0</v>
      </c>
      <c r="X29" s="35">
        <v>0</v>
      </c>
      <c r="Y29" s="36">
        <v>0</v>
      </c>
      <c r="Z29" s="37">
        <v>13899</v>
      </c>
      <c r="AA29" s="38">
        <v>52240</v>
      </c>
      <c r="AB29" s="38">
        <v>0</v>
      </c>
      <c r="AC29" s="39">
        <f t="shared" si="41"/>
        <v>66139</v>
      </c>
      <c r="AD29" s="45">
        <v>126268</v>
      </c>
      <c r="AE29" s="28">
        <v>200000</v>
      </c>
      <c r="AF29" s="41">
        <f>AD29/AE29</f>
        <v>0.63134000000000001</v>
      </c>
      <c r="AG29" s="32">
        <f t="shared" si="42"/>
        <v>126268</v>
      </c>
      <c r="AH29" s="35">
        <v>0</v>
      </c>
      <c r="AI29" s="43">
        <v>0</v>
      </c>
      <c r="AJ29" s="35">
        <v>0</v>
      </c>
      <c r="AK29" s="43">
        <v>0</v>
      </c>
      <c r="AL29" s="44">
        <v>96254</v>
      </c>
      <c r="AM29" s="38">
        <v>30014</v>
      </c>
      <c r="AN29" s="38">
        <v>0</v>
      </c>
      <c r="AO29" s="39">
        <f t="shared" si="43"/>
        <v>126268</v>
      </c>
      <c r="AP29" s="40">
        <f t="shared" si="44"/>
        <v>303261</v>
      </c>
      <c r="AQ29" s="28">
        <v>415000</v>
      </c>
      <c r="AR29" s="41">
        <f>AP29/AQ29</f>
        <v>0.73074939759036139</v>
      </c>
      <c r="AS29" s="30">
        <f t="shared" si="45"/>
        <v>157420</v>
      </c>
      <c r="AT29" s="30">
        <f t="shared" si="46"/>
        <v>267905</v>
      </c>
      <c r="AU29" s="42">
        <f t="shared" si="47"/>
        <v>728586</v>
      </c>
      <c r="AV29" s="33">
        <f t="shared" si="48"/>
        <v>0</v>
      </c>
      <c r="AW29" s="46">
        <f t="shared" si="49"/>
        <v>0</v>
      </c>
      <c r="AX29" s="33">
        <f t="shared" si="50"/>
        <v>0</v>
      </c>
      <c r="AY29" s="47">
        <f t="shared" si="51"/>
        <v>0</v>
      </c>
      <c r="AZ29" s="48">
        <f t="shared" si="52"/>
        <v>146253</v>
      </c>
      <c r="BA29" s="49">
        <f t="shared" si="53"/>
        <v>127530</v>
      </c>
      <c r="BB29" s="49">
        <f t="shared" si="54"/>
        <v>29478</v>
      </c>
      <c r="BC29" s="50">
        <f t="shared" si="55"/>
        <v>303261</v>
      </c>
      <c r="BD29" s="51"/>
    </row>
    <row r="30" spans="1:56" s="52" customFormat="1" ht="21.75" customHeight="1" x14ac:dyDescent="0.15">
      <c r="A30" s="53">
        <v>45314</v>
      </c>
      <c r="B30" s="27">
        <v>167495</v>
      </c>
      <c r="C30" s="28">
        <v>145000</v>
      </c>
      <c r="D30" s="29">
        <f>B30/C30</f>
        <v>1.1551379310344827</v>
      </c>
      <c r="E30" s="30">
        <v>105444</v>
      </c>
      <c r="F30" s="31">
        <v>225600</v>
      </c>
      <c r="G30" s="32">
        <f t="shared" si="38"/>
        <v>498539</v>
      </c>
      <c r="H30" s="33">
        <v>0</v>
      </c>
      <c r="I30" s="34">
        <v>0</v>
      </c>
      <c r="J30" s="35">
        <v>0</v>
      </c>
      <c r="K30" s="36">
        <v>0</v>
      </c>
      <c r="L30" s="37">
        <v>110722</v>
      </c>
      <c r="M30" s="38">
        <v>56773</v>
      </c>
      <c r="N30" s="38">
        <v>0</v>
      </c>
      <c r="O30" s="39">
        <f t="shared" si="39"/>
        <v>167495</v>
      </c>
      <c r="P30" s="40">
        <v>38354</v>
      </c>
      <c r="Q30" s="28">
        <v>70000</v>
      </c>
      <c r="R30" s="29">
        <f>P30/Q30</f>
        <v>0.54791428571428569</v>
      </c>
      <c r="S30" s="30">
        <v>8330</v>
      </c>
      <c r="T30" s="31">
        <v>87200</v>
      </c>
      <c r="U30" s="32">
        <f t="shared" si="40"/>
        <v>133884</v>
      </c>
      <c r="V30" s="33">
        <v>0</v>
      </c>
      <c r="W30" s="34">
        <v>0</v>
      </c>
      <c r="X30" s="35">
        <v>0</v>
      </c>
      <c r="Y30" s="36">
        <v>0</v>
      </c>
      <c r="Z30" s="37">
        <v>24994</v>
      </c>
      <c r="AA30" s="38">
        <v>13360</v>
      </c>
      <c r="AB30" s="38">
        <v>0</v>
      </c>
      <c r="AC30" s="39">
        <f t="shared" si="41"/>
        <v>38354</v>
      </c>
      <c r="AD30" s="45">
        <v>116948</v>
      </c>
      <c r="AE30" s="28">
        <v>200000</v>
      </c>
      <c r="AF30" s="41">
        <f>AD30/AE30</f>
        <v>0.58474000000000004</v>
      </c>
      <c r="AG30" s="32">
        <f t="shared" si="42"/>
        <v>116948</v>
      </c>
      <c r="AH30" s="35">
        <v>0</v>
      </c>
      <c r="AI30" s="43">
        <v>0</v>
      </c>
      <c r="AJ30" s="35">
        <v>0</v>
      </c>
      <c r="AK30" s="43">
        <v>0</v>
      </c>
      <c r="AL30" s="44">
        <v>116948</v>
      </c>
      <c r="AM30" s="38">
        <v>0</v>
      </c>
      <c r="AN30" s="38">
        <v>0</v>
      </c>
      <c r="AO30" s="39">
        <f t="shared" si="43"/>
        <v>116948</v>
      </c>
      <c r="AP30" s="40">
        <f t="shared" si="44"/>
        <v>322797</v>
      </c>
      <c r="AQ30" s="28">
        <v>415000</v>
      </c>
      <c r="AR30" s="41">
        <f>AP30/AQ30</f>
        <v>0.77782409638554217</v>
      </c>
      <c r="AS30" s="30">
        <f t="shared" si="45"/>
        <v>113774</v>
      </c>
      <c r="AT30" s="30">
        <f t="shared" si="46"/>
        <v>312800</v>
      </c>
      <c r="AU30" s="42">
        <f t="shared" si="47"/>
        <v>749371</v>
      </c>
      <c r="AV30" s="33">
        <f t="shared" si="48"/>
        <v>0</v>
      </c>
      <c r="AW30" s="46">
        <f t="shared" si="49"/>
        <v>0</v>
      </c>
      <c r="AX30" s="33">
        <f t="shared" si="50"/>
        <v>0</v>
      </c>
      <c r="AY30" s="47">
        <f t="shared" si="51"/>
        <v>0</v>
      </c>
      <c r="AZ30" s="48">
        <f t="shared" si="52"/>
        <v>252664</v>
      </c>
      <c r="BA30" s="49">
        <f t="shared" si="53"/>
        <v>70133</v>
      </c>
      <c r="BB30" s="49">
        <f t="shared" si="54"/>
        <v>0</v>
      </c>
      <c r="BC30" s="50">
        <f t="shared" si="55"/>
        <v>322797</v>
      </c>
      <c r="BD30" s="51"/>
    </row>
    <row r="31" spans="1:56" s="52" customFormat="1" ht="21.75" customHeight="1" x14ac:dyDescent="0.15">
      <c r="A31" s="26">
        <v>45315</v>
      </c>
      <c r="B31" s="27">
        <v>0</v>
      </c>
      <c r="C31" s="28">
        <v>0</v>
      </c>
      <c r="D31" s="29">
        <v>0</v>
      </c>
      <c r="E31" s="30">
        <v>0</v>
      </c>
      <c r="F31" s="31">
        <v>0</v>
      </c>
      <c r="G31" s="32">
        <f t="shared" si="38"/>
        <v>0</v>
      </c>
      <c r="H31" s="33">
        <v>0</v>
      </c>
      <c r="I31" s="34">
        <v>0</v>
      </c>
      <c r="J31" s="35">
        <v>0</v>
      </c>
      <c r="K31" s="36">
        <v>0</v>
      </c>
      <c r="L31" s="37">
        <v>0</v>
      </c>
      <c r="M31" s="38">
        <v>0</v>
      </c>
      <c r="N31" s="38">
        <v>0</v>
      </c>
      <c r="O31" s="39">
        <f t="shared" si="39"/>
        <v>0</v>
      </c>
      <c r="P31" s="40">
        <v>0</v>
      </c>
      <c r="Q31" s="28">
        <v>0</v>
      </c>
      <c r="R31" s="29">
        <v>0</v>
      </c>
      <c r="S31" s="30">
        <v>0</v>
      </c>
      <c r="T31" s="31">
        <v>0</v>
      </c>
      <c r="U31" s="32">
        <f t="shared" si="40"/>
        <v>0</v>
      </c>
      <c r="V31" s="33">
        <v>0</v>
      </c>
      <c r="W31" s="34">
        <v>0</v>
      </c>
      <c r="X31" s="35">
        <v>0</v>
      </c>
      <c r="Y31" s="36">
        <v>0</v>
      </c>
      <c r="Z31" s="37">
        <v>0</v>
      </c>
      <c r="AA31" s="38">
        <v>0</v>
      </c>
      <c r="AB31" s="38">
        <v>0</v>
      </c>
      <c r="AC31" s="39">
        <f t="shared" si="41"/>
        <v>0</v>
      </c>
      <c r="AD31" s="45">
        <v>0</v>
      </c>
      <c r="AE31" s="28">
        <v>0</v>
      </c>
      <c r="AF31" s="41">
        <v>0</v>
      </c>
      <c r="AG31" s="32">
        <f t="shared" si="42"/>
        <v>0</v>
      </c>
      <c r="AH31" s="35">
        <v>0</v>
      </c>
      <c r="AI31" s="43">
        <v>0</v>
      </c>
      <c r="AJ31" s="35">
        <v>0</v>
      </c>
      <c r="AK31" s="43">
        <v>0</v>
      </c>
      <c r="AL31" s="44">
        <v>0</v>
      </c>
      <c r="AM31" s="38">
        <v>0</v>
      </c>
      <c r="AN31" s="38">
        <v>0</v>
      </c>
      <c r="AO31" s="39">
        <f t="shared" si="43"/>
        <v>0</v>
      </c>
      <c r="AP31" s="40">
        <f t="shared" si="44"/>
        <v>0</v>
      </c>
      <c r="AQ31" s="28">
        <v>0</v>
      </c>
      <c r="AR31" s="41">
        <v>0</v>
      </c>
      <c r="AS31" s="30">
        <f t="shared" si="45"/>
        <v>0</v>
      </c>
      <c r="AT31" s="30">
        <f t="shared" si="46"/>
        <v>0</v>
      </c>
      <c r="AU31" s="42">
        <f t="shared" si="47"/>
        <v>0</v>
      </c>
      <c r="AV31" s="33">
        <f t="shared" si="48"/>
        <v>0</v>
      </c>
      <c r="AW31" s="46">
        <f t="shared" si="49"/>
        <v>0</v>
      </c>
      <c r="AX31" s="33">
        <f t="shared" si="50"/>
        <v>0</v>
      </c>
      <c r="AY31" s="46">
        <f t="shared" si="51"/>
        <v>0</v>
      </c>
      <c r="AZ31" s="48">
        <f t="shared" si="52"/>
        <v>0</v>
      </c>
      <c r="BA31" s="49">
        <f t="shared" si="53"/>
        <v>0</v>
      </c>
      <c r="BB31" s="49">
        <f t="shared" si="54"/>
        <v>0</v>
      </c>
      <c r="BC31" s="50">
        <f t="shared" si="55"/>
        <v>0</v>
      </c>
      <c r="BD31" s="51"/>
    </row>
    <row r="32" spans="1:56" s="52" customFormat="1" ht="21.75" customHeight="1" x14ac:dyDescent="0.15">
      <c r="A32" s="26">
        <v>45316</v>
      </c>
      <c r="B32" s="27">
        <v>0</v>
      </c>
      <c r="C32" s="28">
        <v>0</v>
      </c>
      <c r="D32" s="29">
        <v>0</v>
      </c>
      <c r="E32" s="30">
        <v>0</v>
      </c>
      <c r="F32" s="31">
        <v>0</v>
      </c>
      <c r="G32" s="32">
        <f t="shared" si="38"/>
        <v>0</v>
      </c>
      <c r="H32" s="33">
        <v>0</v>
      </c>
      <c r="I32" s="34">
        <v>0</v>
      </c>
      <c r="J32" s="35">
        <v>0</v>
      </c>
      <c r="K32" s="36">
        <v>0</v>
      </c>
      <c r="L32" s="37">
        <v>0</v>
      </c>
      <c r="M32" s="38">
        <v>0</v>
      </c>
      <c r="N32" s="38">
        <v>0</v>
      </c>
      <c r="O32" s="39">
        <f t="shared" si="39"/>
        <v>0</v>
      </c>
      <c r="P32" s="40">
        <v>0</v>
      </c>
      <c r="Q32" s="28">
        <v>0</v>
      </c>
      <c r="R32" s="29">
        <v>0</v>
      </c>
      <c r="S32" s="30">
        <v>0</v>
      </c>
      <c r="T32" s="31">
        <v>0</v>
      </c>
      <c r="U32" s="32">
        <f t="shared" si="40"/>
        <v>0</v>
      </c>
      <c r="V32" s="33">
        <v>0</v>
      </c>
      <c r="W32" s="34">
        <v>0</v>
      </c>
      <c r="X32" s="35">
        <v>0</v>
      </c>
      <c r="Y32" s="36">
        <v>0</v>
      </c>
      <c r="Z32" s="37">
        <v>0</v>
      </c>
      <c r="AA32" s="38">
        <v>0</v>
      </c>
      <c r="AB32" s="38">
        <v>0</v>
      </c>
      <c r="AC32" s="39">
        <f t="shared" si="41"/>
        <v>0</v>
      </c>
      <c r="AD32" s="45">
        <v>0</v>
      </c>
      <c r="AE32" s="28">
        <v>0</v>
      </c>
      <c r="AF32" s="41">
        <v>0</v>
      </c>
      <c r="AG32" s="32">
        <f t="shared" si="42"/>
        <v>0</v>
      </c>
      <c r="AH32" s="35">
        <v>0</v>
      </c>
      <c r="AI32" s="43">
        <v>0</v>
      </c>
      <c r="AJ32" s="35">
        <v>0</v>
      </c>
      <c r="AK32" s="43">
        <v>0</v>
      </c>
      <c r="AL32" s="44">
        <v>0</v>
      </c>
      <c r="AM32" s="38">
        <v>0</v>
      </c>
      <c r="AN32" s="38">
        <v>0</v>
      </c>
      <c r="AO32" s="39">
        <f t="shared" si="43"/>
        <v>0</v>
      </c>
      <c r="AP32" s="40">
        <f t="shared" si="44"/>
        <v>0</v>
      </c>
      <c r="AQ32" s="28">
        <v>0</v>
      </c>
      <c r="AR32" s="41">
        <v>0</v>
      </c>
      <c r="AS32" s="30">
        <f t="shared" si="45"/>
        <v>0</v>
      </c>
      <c r="AT32" s="30">
        <f t="shared" si="46"/>
        <v>0</v>
      </c>
      <c r="AU32" s="42">
        <f t="shared" si="47"/>
        <v>0</v>
      </c>
      <c r="AV32" s="33">
        <f t="shared" si="48"/>
        <v>0</v>
      </c>
      <c r="AW32" s="46" t="s">
        <v>110</v>
      </c>
      <c r="AX32" s="33">
        <f t="shared" si="50"/>
        <v>0</v>
      </c>
      <c r="AY32" s="46">
        <f t="shared" si="51"/>
        <v>0</v>
      </c>
      <c r="AZ32" s="48">
        <f t="shared" si="52"/>
        <v>0</v>
      </c>
      <c r="BA32" s="49">
        <f t="shared" si="53"/>
        <v>0</v>
      </c>
      <c r="BB32" s="49">
        <f t="shared" si="54"/>
        <v>0</v>
      </c>
      <c r="BC32" s="50">
        <f t="shared" si="55"/>
        <v>0</v>
      </c>
      <c r="BD32" s="51"/>
    </row>
    <row r="33" spans="1:56" s="52" customFormat="1" ht="21.75" customHeight="1" x14ac:dyDescent="0.15">
      <c r="A33" s="53">
        <v>45317</v>
      </c>
      <c r="B33" s="27">
        <v>33469</v>
      </c>
      <c r="C33" s="28">
        <v>145000</v>
      </c>
      <c r="D33" s="29">
        <f>B33/C33</f>
        <v>0.23082068965517241</v>
      </c>
      <c r="E33" s="30">
        <f>183417+90000</f>
        <v>273417</v>
      </c>
      <c r="F33" s="31">
        <v>455787</v>
      </c>
      <c r="G33" s="32">
        <f t="shared" si="38"/>
        <v>762673</v>
      </c>
      <c r="H33" s="33">
        <v>0</v>
      </c>
      <c r="I33" s="34">
        <v>0</v>
      </c>
      <c r="J33" s="35">
        <v>0</v>
      </c>
      <c r="K33" s="36">
        <v>0</v>
      </c>
      <c r="L33" s="37">
        <v>0</v>
      </c>
      <c r="M33" s="38">
        <v>0</v>
      </c>
      <c r="N33" s="38">
        <v>33469</v>
      </c>
      <c r="O33" s="39">
        <f t="shared" si="39"/>
        <v>33469</v>
      </c>
      <c r="P33" s="40">
        <v>78266</v>
      </c>
      <c r="Q33" s="28">
        <v>70000</v>
      </c>
      <c r="R33" s="29">
        <f>P33/Q33</f>
        <v>1.1180857142857143</v>
      </c>
      <c r="S33" s="30">
        <v>18046</v>
      </c>
      <c r="T33" s="31">
        <v>0</v>
      </c>
      <c r="U33" s="32">
        <f t="shared" si="40"/>
        <v>96312</v>
      </c>
      <c r="V33" s="33">
        <v>0</v>
      </c>
      <c r="W33" s="34">
        <v>0</v>
      </c>
      <c r="X33" s="35">
        <v>7879</v>
      </c>
      <c r="Y33" s="36">
        <v>0</v>
      </c>
      <c r="Z33" s="37">
        <v>16504</v>
      </c>
      <c r="AA33" s="38">
        <v>61762</v>
      </c>
      <c r="AB33" s="38">
        <v>0</v>
      </c>
      <c r="AC33" s="39">
        <f t="shared" si="41"/>
        <v>78266</v>
      </c>
      <c r="AD33" s="45">
        <v>103057</v>
      </c>
      <c r="AE33" s="28">
        <v>200000</v>
      </c>
      <c r="AF33" s="41">
        <f>AD33/AE33</f>
        <v>0.51528499999999999</v>
      </c>
      <c r="AG33" s="32">
        <f t="shared" si="42"/>
        <v>103057</v>
      </c>
      <c r="AH33" s="35">
        <v>0</v>
      </c>
      <c r="AI33" s="43">
        <v>0</v>
      </c>
      <c r="AJ33" s="35">
        <v>0</v>
      </c>
      <c r="AK33" s="43">
        <v>0</v>
      </c>
      <c r="AL33" s="44">
        <v>103057</v>
      </c>
      <c r="AM33" s="38">
        <v>0</v>
      </c>
      <c r="AN33" s="38">
        <v>0</v>
      </c>
      <c r="AO33" s="39">
        <f t="shared" si="43"/>
        <v>103057</v>
      </c>
      <c r="AP33" s="40">
        <f t="shared" si="44"/>
        <v>214792</v>
      </c>
      <c r="AQ33" s="28">
        <v>415000</v>
      </c>
      <c r="AR33" s="41">
        <f>AP33/AQ33</f>
        <v>0.51757108433734944</v>
      </c>
      <c r="AS33" s="30">
        <f t="shared" si="45"/>
        <v>291463</v>
      </c>
      <c r="AT33" s="30">
        <f t="shared" si="46"/>
        <v>455787</v>
      </c>
      <c r="AU33" s="42">
        <f t="shared" si="47"/>
        <v>962042</v>
      </c>
      <c r="AV33" s="33">
        <f t="shared" si="48"/>
        <v>0</v>
      </c>
      <c r="AW33" s="46">
        <f t="shared" si="49"/>
        <v>0</v>
      </c>
      <c r="AX33" s="33">
        <f t="shared" si="50"/>
        <v>7879</v>
      </c>
      <c r="AY33" s="47">
        <f t="shared" si="51"/>
        <v>0</v>
      </c>
      <c r="AZ33" s="48">
        <f t="shared" si="52"/>
        <v>119561</v>
      </c>
      <c r="BA33" s="49">
        <f t="shared" si="53"/>
        <v>61762</v>
      </c>
      <c r="BB33" s="49">
        <f t="shared" si="54"/>
        <v>33469</v>
      </c>
      <c r="BC33" s="50">
        <f t="shared" si="55"/>
        <v>214792</v>
      </c>
      <c r="BD33" s="51"/>
    </row>
    <row r="34" spans="1:56" s="52" customFormat="1" ht="21.75" customHeight="1" x14ac:dyDescent="0.15">
      <c r="A34" s="53">
        <v>45318</v>
      </c>
      <c r="B34" s="27">
        <v>225263</v>
      </c>
      <c r="C34" s="28">
        <v>145000</v>
      </c>
      <c r="D34" s="29">
        <f>B34/C34</f>
        <v>1.5535379310344828</v>
      </c>
      <c r="E34" s="30">
        <v>11771</v>
      </c>
      <c r="F34" s="31">
        <v>0</v>
      </c>
      <c r="G34" s="32">
        <f t="shared" si="38"/>
        <v>237034</v>
      </c>
      <c r="H34" s="33">
        <v>0</v>
      </c>
      <c r="I34" s="34">
        <v>0</v>
      </c>
      <c r="J34" s="35">
        <v>0</v>
      </c>
      <c r="K34" s="36">
        <v>0</v>
      </c>
      <c r="L34" s="37">
        <v>195922</v>
      </c>
      <c r="M34" s="38">
        <v>29341</v>
      </c>
      <c r="N34" s="38">
        <v>0</v>
      </c>
      <c r="O34" s="39">
        <f t="shared" si="39"/>
        <v>225263</v>
      </c>
      <c r="P34" s="40">
        <v>71721</v>
      </c>
      <c r="Q34" s="28">
        <v>70000</v>
      </c>
      <c r="R34" s="29">
        <f>P34/Q34</f>
        <v>1.0245857142857142</v>
      </c>
      <c r="S34" s="30">
        <v>0</v>
      </c>
      <c r="T34" s="31">
        <v>0</v>
      </c>
      <c r="U34" s="32">
        <f t="shared" si="40"/>
        <v>71721</v>
      </c>
      <c r="V34" s="33">
        <v>0</v>
      </c>
      <c r="W34" s="34">
        <v>0</v>
      </c>
      <c r="X34" s="35">
        <v>0</v>
      </c>
      <c r="Y34" s="36">
        <v>0</v>
      </c>
      <c r="Z34" s="37">
        <v>19862</v>
      </c>
      <c r="AA34" s="38">
        <v>51859</v>
      </c>
      <c r="AB34" s="38">
        <v>0</v>
      </c>
      <c r="AC34" s="39">
        <f t="shared" si="41"/>
        <v>71721</v>
      </c>
      <c r="AD34" s="45">
        <v>253614</v>
      </c>
      <c r="AE34" s="28">
        <v>200000</v>
      </c>
      <c r="AF34" s="41">
        <f>AD34/AE34</f>
        <v>1.26807</v>
      </c>
      <c r="AG34" s="32">
        <f t="shared" si="42"/>
        <v>253614</v>
      </c>
      <c r="AH34" s="35">
        <v>0</v>
      </c>
      <c r="AI34" s="43">
        <v>0</v>
      </c>
      <c r="AJ34" s="35">
        <v>0</v>
      </c>
      <c r="AK34" s="43">
        <v>0</v>
      </c>
      <c r="AL34" s="44">
        <v>149213</v>
      </c>
      <c r="AM34" s="38">
        <v>104401</v>
      </c>
      <c r="AN34" s="38">
        <v>0</v>
      </c>
      <c r="AO34" s="39">
        <f t="shared" si="43"/>
        <v>253614</v>
      </c>
      <c r="AP34" s="40">
        <f t="shared" si="44"/>
        <v>550598</v>
      </c>
      <c r="AQ34" s="28">
        <v>415000</v>
      </c>
      <c r="AR34" s="41">
        <f>AP34/AQ34</f>
        <v>1.3267421686746987</v>
      </c>
      <c r="AS34" s="30">
        <f t="shared" si="45"/>
        <v>11771</v>
      </c>
      <c r="AT34" s="30">
        <f t="shared" si="46"/>
        <v>0</v>
      </c>
      <c r="AU34" s="42">
        <f t="shared" si="47"/>
        <v>562369</v>
      </c>
      <c r="AV34" s="33">
        <f t="shared" si="48"/>
        <v>0</v>
      </c>
      <c r="AW34" s="46">
        <f t="shared" si="49"/>
        <v>0</v>
      </c>
      <c r="AX34" s="33">
        <f t="shared" si="50"/>
        <v>0</v>
      </c>
      <c r="AY34" s="47">
        <f t="shared" si="51"/>
        <v>0</v>
      </c>
      <c r="AZ34" s="48">
        <f t="shared" si="52"/>
        <v>364997</v>
      </c>
      <c r="BA34" s="49">
        <f t="shared" si="53"/>
        <v>185601</v>
      </c>
      <c r="BB34" s="49">
        <f t="shared" si="54"/>
        <v>0</v>
      </c>
      <c r="BC34" s="50">
        <f t="shared" si="55"/>
        <v>550598</v>
      </c>
      <c r="BD34" s="51"/>
    </row>
    <row r="35" spans="1:56" s="52" customFormat="1" ht="21.75" customHeight="1" x14ac:dyDescent="0.15">
      <c r="A35" s="53">
        <v>45319</v>
      </c>
      <c r="B35" s="27">
        <v>29705</v>
      </c>
      <c r="C35" s="28">
        <v>145000</v>
      </c>
      <c r="D35" s="29">
        <f>B35/C35</f>
        <v>0.20486206896551723</v>
      </c>
      <c r="E35" s="30">
        <v>193349</v>
      </c>
      <c r="F35" s="31">
        <v>328800</v>
      </c>
      <c r="G35" s="32">
        <f t="shared" si="38"/>
        <v>551854</v>
      </c>
      <c r="H35" s="33">
        <v>0</v>
      </c>
      <c r="I35" s="34">
        <v>0</v>
      </c>
      <c r="J35" s="35">
        <v>0</v>
      </c>
      <c r="K35" s="36">
        <v>0</v>
      </c>
      <c r="L35" s="37">
        <v>29705</v>
      </c>
      <c r="M35" s="38">
        <v>0</v>
      </c>
      <c r="N35" s="38">
        <v>0</v>
      </c>
      <c r="O35" s="39">
        <f t="shared" si="39"/>
        <v>29705</v>
      </c>
      <c r="P35" s="40">
        <v>112658</v>
      </c>
      <c r="Q35" s="28">
        <v>70000</v>
      </c>
      <c r="R35" s="29">
        <f>P35/Q35</f>
        <v>1.6093999999999999</v>
      </c>
      <c r="S35" s="30">
        <v>0</v>
      </c>
      <c r="T35" s="31">
        <v>0</v>
      </c>
      <c r="U35" s="32">
        <f t="shared" si="40"/>
        <v>112658</v>
      </c>
      <c r="V35" s="33">
        <v>0</v>
      </c>
      <c r="W35" s="34">
        <v>0</v>
      </c>
      <c r="X35" s="35">
        <v>0</v>
      </c>
      <c r="Y35" s="36">
        <v>0</v>
      </c>
      <c r="Z35" s="37">
        <v>8864</v>
      </c>
      <c r="AA35" s="38">
        <v>103794</v>
      </c>
      <c r="AB35" s="38">
        <v>0</v>
      </c>
      <c r="AC35" s="39">
        <f t="shared" si="41"/>
        <v>112658</v>
      </c>
      <c r="AD35" s="45">
        <v>18046</v>
      </c>
      <c r="AE35" s="28">
        <v>200000</v>
      </c>
      <c r="AF35" s="41">
        <f>AD35/AE35</f>
        <v>9.0230000000000005E-2</v>
      </c>
      <c r="AG35" s="32">
        <f t="shared" si="42"/>
        <v>18046</v>
      </c>
      <c r="AH35" s="35">
        <v>0</v>
      </c>
      <c r="AI35" s="43">
        <v>0</v>
      </c>
      <c r="AJ35" s="35">
        <v>0</v>
      </c>
      <c r="AK35" s="43">
        <v>0</v>
      </c>
      <c r="AL35" s="44">
        <v>18046</v>
      </c>
      <c r="AM35" s="38">
        <v>0</v>
      </c>
      <c r="AN35" s="38">
        <v>0</v>
      </c>
      <c r="AO35" s="39">
        <f t="shared" si="43"/>
        <v>18046</v>
      </c>
      <c r="AP35" s="40">
        <f t="shared" si="44"/>
        <v>160409</v>
      </c>
      <c r="AQ35" s="28">
        <v>415000</v>
      </c>
      <c r="AR35" s="41">
        <f>AP35/AQ35</f>
        <v>0.38652771084337351</v>
      </c>
      <c r="AS35" s="30">
        <f t="shared" si="45"/>
        <v>193349</v>
      </c>
      <c r="AT35" s="30">
        <f t="shared" si="46"/>
        <v>328800</v>
      </c>
      <c r="AU35" s="42">
        <f t="shared" si="47"/>
        <v>682558</v>
      </c>
      <c r="AV35" s="33">
        <f t="shared" si="48"/>
        <v>0</v>
      </c>
      <c r="AW35" s="46">
        <f t="shared" si="49"/>
        <v>0</v>
      </c>
      <c r="AX35" s="33">
        <f t="shared" si="50"/>
        <v>0</v>
      </c>
      <c r="AY35" s="47">
        <f t="shared" si="51"/>
        <v>0</v>
      </c>
      <c r="AZ35" s="48">
        <f t="shared" si="52"/>
        <v>56615</v>
      </c>
      <c r="BA35" s="49">
        <f t="shared" si="53"/>
        <v>103794</v>
      </c>
      <c r="BB35" s="49">
        <f t="shared" si="54"/>
        <v>0</v>
      </c>
      <c r="BC35" s="50">
        <f t="shared" si="55"/>
        <v>160409</v>
      </c>
      <c r="BD35" s="51"/>
    </row>
    <row r="36" spans="1:56" s="52" customFormat="1" ht="21.75" customHeight="1" x14ac:dyDescent="0.15">
      <c r="A36" s="53">
        <v>45320</v>
      </c>
      <c r="B36" s="27">
        <v>118638</v>
      </c>
      <c r="C36" s="28">
        <v>145000</v>
      </c>
      <c r="D36" s="29">
        <f>B36/C36</f>
        <v>0.81819310344827589</v>
      </c>
      <c r="E36" s="30">
        <v>303750</v>
      </c>
      <c r="F36" s="31">
        <v>141400</v>
      </c>
      <c r="G36" s="32">
        <f t="shared" si="38"/>
        <v>563788</v>
      </c>
      <c r="H36" s="33">
        <v>0</v>
      </c>
      <c r="I36" s="34">
        <v>0</v>
      </c>
      <c r="J36" s="35">
        <v>0</v>
      </c>
      <c r="K36" s="36">
        <v>0</v>
      </c>
      <c r="L36" s="37">
        <v>79890</v>
      </c>
      <c r="M36" s="38">
        <v>38748</v>
      </c>
      <c r="N36" s="38">
        <v>0</v>
      </c>
      <c r="O36" s="39">
        <f t="shared" si="39"/>
        <v>118638</v>
      </c>
      <c r="P36" s="40">
        <v>100233</v>
      </c>
      <c r="Q36" s="28">
        <v>70000</v>
      </c>
      <c r="R36" s="29">
        <f>P36/Q36</f>
        <v>1.4319</v>
      </c>
      <c r="S36" s="30">
        <v>5098</v>
      </c>
      <c r="T36" s="31">
        <v>40550</v>
      </c>
      <c r="U36" s="32">
        <f t="shared" si="40"/>
        <v>145881</v>
      </c>
      <c r="V36" s="33">
        <v>0</v>
      </c>
      <c r="W36" s="34">
        <v>0</v>
      </c>
      <c r="X36" s="35">
        <v>11130</v>
      </c>
      <c r="Y36" s="36">
        <v>0</v>
      </c>
      <c r="Z36" s="37">
        <v>18282</v>
      </c>
      <c r="AA36" s="38">
        <v>81951</v>
      </c>
      <c r="AB36" s="38">
        <v>0</v>
      </c>
      <c r="AC36" s="39">
        <f t="shared" si="41"/>
        <v>100233</v>
      </c>
      <c r="AD36" s="45">
        <v>149926</v>
      </c>
      <c r="AE36" s="28">
        <v>200000</v>
      </c>
      <c r="AF36" s="41">
        <f>AD36/AE36</f>
        <v>0.74963000000000002</v>
      </c>
      <c r="AG36" s="32">
        <f t="shared" si="42"/>
        <v>149926</v>
      </c>
      <c r="AH36" s="35">
        <v>0</v>
      </c>
      <c r="AI36" s="43">
        <v>0</v>
      </c>
      <c r="AJ36" s="35">
        <v>0</v>
      </c>
      <c r="AK36" s="43">
        <v>0</v>
      </c>
      <c r="AL36" s="44">
        <v>115488</v>
      </c>
      <c r="AM36" s="38">
        <v>34438</v>
      </c>
      <c r="AN36" s="38">
        <v>0</v>
      </c>
      <c r="AO36" s="39">
        <f t="shared" si="43"/>
        <v>149926</v>
      </c>
      <c r="AP36" s="40">
        <f t="shared" si="44"/>
        <v>368797</v>
      </c>
      <c r="AQ36" s="28">
        <v>415000</v>
      </c>
      <c r="AR36" s="41">
        <f>AP36/AQ36</f>
        <v>0.88866746987951806</v>
      </c>
      <c r="AS36" s="30">
        <f t="shared" ref="AS36:AS38" si="56">E36+S36</f>
        <v>308848</v>
      </c>
      <c r="AT36" s="30">
        <f t="shared" ref="AT36:AT38" si="57">F36+T36</f>
        <v>181950</v>
      </c>
      <c r="AU36" s="42">
        <f t="shared" ref="AU36:AU38" si="58">AP36+AS36+AT36</f>
        <v>859595</v>
      </c>
      <c r="AV36" s="33">
        <f t="shared" ref="AV36:AV38" si="59">SUM(H36,V36,AH36)</f>
        <v>0</v>
      </c>
      <c r="AW36" s="46">
        <f t="shared" ref="AW36:AW38" si="60">SUM(I36,W36,AI36)</f>
        <v>0</v>
      </c>
      <c r="AX36" s="33">
        <f t="shared" ref="AX36:AX38" si="61">SUM(J36,X36,AJ36)</f>
        <v>11130</v>
      </c>
      <c r="AY36" s="47">
        <f t="shared" ref="AY36:AY38" si="62">SUM(K36,Y36,AK36)</f>
        <v>0</v>
      </c>
      <c r="AZ36" s="48">
        <f t="shared" ref="AZ36:AZ38" si="63">L36+Z36+AL36</f>
        <v>213660</v>
      </c>
      <c r="BA36" s="49">
        <f t="shared" ref="BA36:BA38" si="64">M36+AA36+AM36</f>
        <v>155137</v>
      </c>
      <c r="BB36" s="49">
        <f t="shared" ref="BB36:BB38" si="65">N36+AB36+AN36</f>
        <v>0</v>
      </c>
      <c r="BC36" s="50">
        <f t="shared" ref="BC36:BC38" si="66">SUM(AZ36:BB36)</f>
        <v>368797</v>
      </c>
      <c r="BD36" s="51"/>
    </row>
    <row r="37" spans="1:56" s="52" customFormat="1" ht="21.75" customHeight="1" x14ac:dyDescent="0.15">
      <c r="A37" s="53">
        <v>45321</v>
      </c>
      <c r="B37" s="27">
        <v>175119</v>
      </c>
      <c r="C37" s="28">
        <v>145000</v>
      </c>
      <c r="D37" s="29">
        <f>B37/C37</f>
        <v>1.2077172413793102</v>
      </c>
      <c r="E37" s="30">
        <v>48802</v>
      </c>
      <c r="F37" s="31">
        <v>136150</v>
      </c>
      <c r="G37" s="32">
        <f t="shared" si="38"/>
        <v>360071</v>
      </c>
      <c r="H37" s="33">
        <v>0</v>
      </c>
      <c r="I37" s="34">
        <v>0</v>
      </c>
      <c r="J37" s="35">
        <v>0</v>
      </c>
      <c r="K37" s="36">
        <v>0</v>
      </c>
      <c r="L37" s="37">
        <v>99237</v>
      </c>
      <c r="M37" s="38">
        <v>75882</v>
      </c>
      <c r="N37" s="38">
        <v>0</v>
      </c>
      <c r="O37" s="39">
        <f t="shared" si="39"/>
        <v>175119</v>
      </c>
      <c r="P37" s="40">
        <v>92702</v>
      </c>
      <c r="Q37" s="28">
        <v>70000</v>
      </c>
      <c r="R37" s="29">
        <f>P37/Q37</f>
        <v>1.3243142857142858</v>
      </c>
      <c r="S37" s="30">
        <v>0</v>
      </c>
      <c r="T37" s="31">
        <v>0</v>
      </c>
      <c r="U37" s="32">
        <f t="shared" si="40"/>
        <v>92702</v>
      </c>
      <c r="V37" s="33">
        <v>0</v>
      </c>
      <c r="W37" s="34">
        <v>0</v>
      </c>
      <c r="X37" s="35">
        <v>0</v>
      </c>
      <c r="Y37" s="36">
        <v>0</v>
      </c>
      <c r="Z37" s="37">
        <v>0</v>
      </c>
      <c r="AA37" s="38">
        <v>92702</v>
      </c>
      <c r="AB37" s="38">
        <v>0</v>
      </c>
      <c r="AC37" s="39">
        <f t="shared" si="41"/>
        <v>92702</v>
      </c>
      <c r="AD37" s="45">
        <v>111623</v>
      </c>
      <c r="AE37" s="28">
        <v>200000</v>
      </c>
      <c r="AF37" s="41">
        <f>AD37/AE37</f>
        <v>0.55811500000000003</v>
      </c>
      <c r="AG37" s="32">
        <f t="shared" si="42"/>
        <v>111623</v>
      </c>
      <c r="AH37" s="35">
        <v>0</v>
      </c>
      <c r="AI37" s="43">
        <v>0</v>
      </c>
      <c r="AJ37" s="35">
        <v>0</v>
      </c>
      <c r="AK37" s="43">
        <v>0</v>
      </c>
      <c r="AL37" s="44">
        <v>111623</v>
      </c>
      <c r="AM37" s="38">
        <v>0</v>
      </c>
      <c r="AN37" s="38">
        <v>0</v>
      </c>
      <c r="AO37" s="39">
        <f t="shared" si="43"/>
        <v>111623</v>
      </c>
      <c r="AP37" s="40">
        <f t="shared" si="44"/>
        <v>379444</v>
      </c>
      <c r="AQ37" s="28">
        <v>415000</v>
      </c>
      <c r="AR37" s="41">
        <f>AP37/AQ37</f>
        <v>0.91432289156626501</v>
      </c>
      <c r="AS37" s="30">
        <f t="shared" si="56"/>
        <v>48802</v>
      </c>
      <c r="AT37" s="30">
        <f t="shared" si="57"/>
        <v>136150</v>
      </c>
      <c r="AU37" s="42">
        <f t="shared" si="58"/>
        <v>564396</v>
      </c>
      <c r="AV37" s="33">
        <f t="shared" si="59"/>
        <v>0</v>
      </c>
      <c r="AW37" s="46">
        <f t="shared" si="60"/>
        <v>0</v>
      </c>
      <c r="AX37" s="33">
        <f t="shared" si="61"/>
        <v>0</v>
      </c>
      <c r="AY37" s="47">
        <f t="shared" si="62"/>
        <v>0</v>
      </c>
      <c r="AZ37" s="48">
        <f t="shared" si="63"/>
        <v>210860</v>
      </c>
      <c r="BA37" s="49">
        <f t="shared" si="64"/>
        <v>168584</v>
      </c>
      <c r="BB37" s="49">
        <f t="shared" si="65"/>
        <v>0</v>
      </c>
      <c r="BC37" s="50">
        <f t="shared" si="66"/>
        <v>379444</v>
      </c>
      <c r="BD37" s="51"/>
    </row>
    <row r="38" spans="1:56" s="52" customFormat="1" ht="21.75" customHeight="1" thickBot="1" x14ac:dyDescent="0.2">
      <c r="A38" s="26">
        <v>45322</v>
      </c>
      <c r="B38" s="27">
        <v>0</v>
      </c>
      <c r="C38" s="28">
        <v>0</v>
      </c>
      <c r="D38" s="29">
        <v>0</v>
      </c>
      <c r="E38" s="30">
        <v>79340</v>
      </c>
      <c r="F38" s="31">
        <v>69600</v>
      </c>
      <c r="G38" s="32">
        <f t="shared" ref="G38" si="67">B38+E38+F38</f>
        <v>148940</v>
      </c>
      <c r="H38" s="33">
        <v>0</v>
      </c>
      <c r="I38" s="34">
        <v>0</v>
      </c>
      <c r="J38" s="35">
        <v>0</v>
      </c>
      <c r="K38" s="36">
        <v>0</v>
      </c>
      <c r="L38" s="37">
        <v>0</v>
      </c>
      <c r="M38" s="38">
        <v>0</v>
      </c>
      <c r="N38" s="38">
        <v>0</v>
      </c>
      <c r="O38" s="39">
        <f t="shared" ref="O38" si="68">SUM(L38:N38)</f>
        <v>0</v>
      </c>
      <c r="P38" s="40">
        <v>51157</v>
      </c>
      <c r="Q38" s="28">
        <v>0</v>
      </c>
      <c r="R38" s="29">
        <v>0</v>
      </c>
      <c r="S38" s="30">
        <v>0</v>
      </c>
      <c r="T38" s="31">
        <v>0</v>
      </c>
      <c r="U38" s="32">
        <f t="shared" ref="U38" si="69">P38+S38+T38</f>
        <v>51157</v>
      </c>
      <c r="V38" s="33">
        <v>0</v>
      </c>
      <c r="W38" s="34">
        <v>0</v>
      </c>
      <c r="X38" s="35">
        <v>0</v>
      </c>
      <c r="Y38" s="36">
        <v>0</v>
      </c>
      <c r="Z38" s="37">
        <v>0</v>
      </c>
      <c r="AA38" s="38">
        <v>51157</v>
      </c>
      <c r="AB38" s="38">
        <v>0</v>
      </c>
      <c r="AC38" s="39">
        <f t="shared" ref="AC38" si="70">SUM(Z38:AB38)</f>
        <v>51157</v>
      </c>
      <c r="AD38" s="45">
        <v>0</v>
      </c>
      <c r="AE38" s="28">
        <v>0</v>
      </c>
      <c r="AF38" s="41">
        <v>0</v>
      </c>
      <c r="AG38" s="32">
        <f t="shared" ref="AG38" si="71">AD38</f>
        <v>0</v>
      </c>
      <c r="AH38" s="35">
        <v>0</v>
      </c>
      <c r="AI38" s="43">
        <v>0</v>
      </c>
      <c r="AJ38" s="35">
        <v>0</v>
      </c>
      <c r="AK38" s="43">
        <v>0</v>
      </c>
      <c r="AL38" s="44">
        <v>0</v>
      </c>
      <c r="AM38" s="38">
        <v>0</v>
      </c>
      <c r="AN38" s="38">
        <v>0</v>
      </c>
      <c r="AO38" s="39">
        <f t="shared" ref="AO38" si="72">SUM(AL38:AN38)</f>
        <v>0</v>
      </c>
      <c r="AP38" s="40">
        <f t="shared" ref="AP38" si="73">AD38+P38+B38</f>
        <v>51157</v>
      </c>
      <c r="AQ38" s="28">
        <v>0</v>
      </c>
      <c r="AR38" s="41">
        <v>0</v>
      </c>
      <c r="AS38" s="30">
        <f t="shared" si="56"/>
        <v>79340</v>
      </c>
      <c r="AT38" s="30">
        <f t="shared" si="57"/>
        <v>69600</v>
      </c>
      <c r="AU38" s="42">
        <f t="shared" si="58"/>
        <v>200097</v>
      </c>
      <c r="AV38" s="33">
        <f t="shared" si="59"/>
        <v>0</v>
      </c>
      <c r="AW38" s="46">
        <f t="shared" si="60"/>
        <v>0</v>
      </c>
      <c r="AX38" s="33">
        <f t="shared" si="61"/>
        <v>0</v>
      </c>
      <c r="AY38" s="46">
        <f t="shared" si="62"/>
        <v>0</v>
      </c>
      <c r="AZ38" s="48">
        <f t="shared" si="63"/>
        <v>0</v>
      </c>
      <c r="BA38" s="49">
        <f t="shared" si="64"/>
        <v>51157</v>
      </c>
      <c r="BB38" s="49">
        <f t="shared" si="65"/>
        <v>0</v>
      </c>
      <c r="BC38" s="50">
        <f t="shared" si="66"/>
        <v>51157</v>
      </c>
      <c r="BD38" s="51"/>
    </row>
    <row r="39" spans="1:56" s="10" customFormat="1" ht="21.75" customHeight="1" thickTop="1" thickBot="1" x14ac:dyDescent="0.2">
      <c r="A39" s="54" t="s">
        <v>26</v>
      </c>
      <c r="B39" s="55">
        <f>SUM(B8:B38)</f>
        <v>1987280</v>
      </c>
      <c r="C39" s="56">
        <f>SUM(C8:C38)</f>
        <v>3045000</v>
      </c>
      <c r="D39" s="57">
        <f>B39/C39</f>
        <v>0.65263711001642033</v>
      </c>
      <c r="E39" s="58">
        <f>SUM(E8:E38)</f>
        <v>4215233</v>
      </c>
      <c r="F39" s="59">
        <f>SUM(F8:F38)</f>
        <v>3875704</v>
      </c>
      <c r="G39" s="60">
        <f>B39+E39+F39</f>
        <v>10078217</v>
      </c>
      <c r="H39" s="61">
        <f t="shared" ref="H39:N39" si="74">SUM(H8:H38)</f>
        <v>0</v>
      </c>
      <c r="I39" s="62">
        <f t="shared" si="74"/>
        <v>0</v>
      </c>
      <c r="J39" s="61">
        <f t="shared" si="74"/>
        <v>0</v>
      </c>
      <c r="K39" s="62">
        <f t="shared" si="74"/>
        <v>34511</v>
      </c>
      <c r="L39" s="63">
        <f t="shared" si="74"/>
        <v>1291879</v>
      </c>
      <c r="M39" s="63">
        <f t="shared" si="74"/>
        <v>632454</v>
      </c>
      <c r="N39" s="63">
        <f t="shared" si="74"/>
        <v>62947</v>
      </c>
      <c r="O39" s="64">
        <f>SUM(L39:N39)</f>
        <v>1987280</v>
      </c>
      <c r="P39" s="65">
        <f>SUM(P8:P38)</f>
        <v>1900013</v>
      </c>
      <c r="Q39" s="56">
        <f>SUM(Q8:Q38)</f>
        <v>1470000</v>
      </c>
      <c r="R39" s="57">
        <f>P39/Q39</f>
        <v>1.292525850340136</v>
      </c>
      <c r="S39" s="58">
        <f>SUM(S8:S38)</f>
        <v>283270</v>
      </c>
      <c r="T39" s="59">
        <f>SUM(T8:T38)</f>
        <v>224600</v>
      </c>
      <c r="U39" s="60">
        <f>P39+S39+T39</f>
        <v>2407883</v>
      </c>
      <c r="V39" s="61">
        <f t="shared" ref="V39:AB39" si="75">SUM(V8:V38)</f>
        <v>0</v>
      </c>
      <c r="W39" s="62">
        <f t="shared" si="75"/>
        <v>0</v>
      </c>
      <c r="X39" s="61">
        <f t="shared" si="75"/>
        <v>48703</v>
      </c>
      <c r="Y39" s="62">
        <f t="shared" si="75"/>
        <v>6671</v>
      </c>
      <c r="Z39" s="63">
        <f t="shared" si="75"/>
        <v>758517</v>
      </c>
      <c r="AA39" s="63">
        <f t="shared" si="75"/>
        <v>1067741</v>
      </c>
      <c r="AB39" s="63">
        <f t="shared" si="75"/>
        <v>73755</v>
      </c>
      <c r="AC39" s="64">
        <f>SUM(Z39:AB39)</f>
        <v>1900013</v>
      </c>
      <c r="AD39" s="69">
        <f t="shared" ref="AD39:AE39" si="76">SUM(AD8:AD38)</f>
        <v>4128358</v>
      </c>
      <c r="AE39" s="56">
        <f t="shared" si="76"/>
        <v>4200000</v>
      </c>
      <c r="AF39" s="57">
        <f>AD39/AE39</f>
        <v>0.98294238095238096</v>
      </c>
      <c r="AG39" s="60">
        <f t="shared" ref="AG39:AQ39" si="77">SUM(AG8:AG38)</f>
        <v>4128358</v>
      </c>
      <c r="AH39" s="61">
        <f t="shared" si="77"/>
        <v>0</v>
      </c>
      <c r="AI39" s="62">
        <f t="shared" si="77"/>
        <v>0</v>
      </c>
      <c r="AJ39" s="61">
        <f t="shared" si="77"/>
        <v>49177</v>
      </c>
      <c r="AK39" s="62">
        <f t="shared" si="77"/>
        <v>71342</v>
      </c>
      <c r="AL39" s="63">
        <f t="shared" si="77"/>
        <v>3635115</v>
      </c>
      <c r="AM39" s="63">
        <f t="shared" si="77"/>
        <v>419790</v>
      </c>
      <c r="AN39" s="63">
        <f t="shared" si="77"/>
        <v>73453</v>
      </c>
      <c r="AO39" s="70">
        <f t="shared" si="77"/>
        <v>4128358</v>
      </c>
      <c r="AP39" s="71">
        <f t="shared" si="77"/>
        <v>8015651</v>
      </c>
      <c r="AQ39" s="56">
        <f t="shared" si="77"/>
        <v>8715000</v>
      </c>
      <c r="AR39" s="57">
        <f>AP39/AQ39</f>
        <v>0.91975341365461849</v>
      </c>
      <c r="AS39" s="58">
        <f t="shared" ref="AS39:BB39" si="78">SUM(AS8:AS38)</f>
        <v>4498503</v>
      </c>
      <c r="AT39" s="58">
        <f t="shared" si="78"/>
        <v>4100304</v>
      </c>
      <c r="AU39" s="72">
        <f t="shared" si="78"/>
        <v>16614458</v>
      </c>
      <c r="AV39" s="61">
        <f t="shared" si="78"/>
        <v>0</v>
      </c>
      <c r="AW39" s="73">
        <f t="shared" si="78"/>
        <v>0</v>
      </c>
      <c r="AX39" s="61">
        <f t="shared" si="78"/>
        <v>97880</v>
      </c>
      <c r="AY39" s="73">
        <f t="shared" si="78"/>
        <v>112524</v>
      </c>
      <c r="AZ39" s="74">
        <f t="shared" si="78"/>
        <v>5685511</v>
      </c>
      <c r="BA39" s="75">
        <f t="shared" si="78"/>
        <v>2119985</v>
      </c>
      <c r="BB39" s="75">
        <f t="shared" si="78"/>
        <v>210155</v>
      </c>
      <c r="BC39" s="64">
        <f>SUM(AZ39:BB39)</f>
        <v>8015651</v>
      </c>
      <c r="BD39" s="76">
        <f>SUM(BD8:BD38)</f>
        <v>0</v>
      </c>
    </row>
    <row r="40" spans="1:56" x14ac:dyDescent="0.15">
      <c r="B40" s="78"/>
      <c r="C40" s="78"/>
      <c r="D40" s="78"/>
      <c r="E40" s="78"/>
      <c r="P40" s="78"/>
      <c r="R40" s="78"/>
      <c r="S40" s="78"/>
    </row>
    <row r="41" spans="1:56" ht="20.25" x14ac:dyDescent="0.2">
      <c r="D41" s="77" ph="1"/>
      <c r="R41" s="77" ph="1"/>
    </row>
    <row r="42" spans="1:56" ht="20.25" x14ac:dyDescent="0.2">
      <c r="D42" s="77" ph="1"/>
      <c r="R42" s="77" ph="1"/>
    </row>
    <row r="43" spans="1:56" ht="20.25" x14ac:dyDescent="0.2">
      <c r="D43" s="77" ph="1"/>
      <c r="R43" s="77" ph="1"/>
    </row>
    <row r="44" spans="1:56" ht="20.25" x14ac:dyDescent="0.2">
      <c r="D44" s="77" ph="1"/>
      <c r="R44" s="77" ph="1"/>
    </row>
    <row r="45" spans="1:56" ht="20.25" x14ac:dyDescent="0.2">
      <c r="D45" s="77" ph="1"/>
      <c r="R45" s="77" ph="1"/>
    </row>
    <row r="46" spans="1:56" ht="20.25" x14ac:dyDescent="0.2">
      <c r="D46" s="77" ph="1"/>
      <c r="R46" s="77" ph="1"/>
    </row>
  </sheetData>
  <customSheetViews>
    <customSheetView guid="{92DE7E81-188B-400C-BE95-FD63ABDF8569}" scale="70" printArea="1" hiddenColumns="1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EBC6F117-7011-42E1-9204-AFA5AE46444E}" scale="70" printArea="1" hiddenColumns="1" view="pageBreakPreview" showRuler="0">
      <pane xSplit="1" ySplit="7" topLeftCell="B8" activePane="bottomRight" state="frozen"/>
      <selection pane="bottomRight" activeCell="AS20" sqref="AS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B36B1895-E9A1-4552-80C2-AE733C5D8FC0}" scale="80" printArea="1" hiddenColumns="1" showRuler="0">
      <pane xSplit="1" ySplit="7" topLeftCell="B8" activePane="bottomRight" state="frozen"/>
      <selection pane="bottomRight" activeCell="R4" sqref="R4:BD4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D392CFE5-9754-418C-A1C2-3219D700ECE9}" scale="70" printArea="1" hiddenColumns="1" view="pageBreakPreview" showRuler="0">
      <pane xSplit="1" ySplit="7" topLeftCell="B8" activePane="bottomRight" state="frozen"/>
      <selection pane="bottomRight" activeCell="R4" sqref="R4:BD4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11C8E2F-3E2A-4A2A-9E9E-AAFA15EA9C86}" scale="70" printArea="1" hiddenColumns="1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5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70" printArea="1" hiddenColumns="1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6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70" printArea="1" hiddenColumns="1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7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70" hiddenColumns="1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8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0">
    <mergeCell ref="AD5:AG5"/>
    <mergeCell ref="AH5:AO5"/>
    <mergeCell ref="AP5:AY5"/>
    <mergeCell ref="AZ5:BC5"/>
    <mergeCell ref="H6:I6"/>
    <mergeCell ref="J6:K6"/>
    <mergeCell ref="L6:O6"/>
    <mergeCell ref="P6:R6"/>
    <mergeCell ref="S6:S7"/>
    <mergeCell ref="AZ6:BC6"/>
    <mergeCell ref="AD6:AF6"/>
    <mergeCell ref="AG6:AG7"/>
    <mergeCell ref="U6:U7"/>
    <mergeCell ref="V6:W6"/>
    <mergeCell ref="X6:Y6"/>
    <mergeCell ref="Z6:AC6"/>
    <mergeCell ref="BD5:BD7"/>
    <mergeCell ref="AH6:AI6"/>
    <mergeCell ref="AJ6:AK6"/>
    <mergeCell ref="AL6:AO6"/>
    <mergeCell ref="AP6:AR6"/>
    <mergeCell ref="AS6:AS7"/>
    <mergeCell ref="AT6:AT7"/>
    <mergeCell ref="AU6:AU7"/>
    <mergeCell ref="AV6:AW6"/>
    <mergeCell ref="AX6:AY6"/>
    <mergeCell ref="A5:A7"/>
    <mergeCell ref="B5:G5"/>
    <mergeCell ref="H5:O5"/>
    <mergeCell ref="P5:U5"/>
    <mergeCell ref="V5:AC5"/>
    <mergeCell ref="B6:D6"/>
    <mergeCell ref="E6:E7"/>
    <mergeCell ref="F6:F7"/>
    <mergeCell ref="G6:G7"/>
    <mergeCell ref="T6:T7"/>
    <mergeCell ref="AX1:AY1"/>
    <mergeCell ref="AR2:AS4"/>
    <mergeCell ref="AT2:AW4"/>
    <mergeCell ref="AX2:AY4"/>
    <mergeCell ref="R3:AO3"/>
    <mergeCell ref="R4:AO4"/>
    <mergeCell ref="AT1:AW1"/>
    <mergeCell ref="A1:D4"/>
    <mergeCell ref="R1:AO2"/>
    <mergeCell ref="AR1:AS1"/>
    <mergeCell ref="E1:Q2"/>
    <mergeCell ref="E3:Q3"/>
    <mergeCell ref="E4:Q4"/>
    <mergeCell ref="AP1:AQ4"/>
  </mergeCells>
  <phoneticPr fontId="3" type="noConversion"/>
  <pageMargins left="0.23" right="0" top="0.75" bottom="0" header="0.39370078740157483" footer="0.2"/>
  <pageSetup paperSize="9" scale="53" orientation="landscape" r:id="rId9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D43"/>
  <sheetViews>
    <sheetView showRuler="0" zoomScale="85" zoomScaleNormal="85" zoomScaleSheetLayoutView="70" workbookViewId="0">
      <pane xSplit="1" ySplit="7" topLeftCell="AA21" activePane="bottomRight" state="frozen"/>
      <selection pane="topRight" activeCell="B1" sqref="B1"/>
      <selection pane="bottomLeft" activeCell="A8" sqref="A8"/>
      <selection pane="bottomRight" activeCell="AE27" sqref="AE27"/>
    </sheetView>
  </sheetViews>
  <sheetFormatPr defaultRowHeight="15" x14ac:dyDescent="0.15"/>
  <cols>
    <col min="1" max="1" width="7" style="77" customWidth="1"/>
    <col min="2" max="3" width="10.33203125" style="77" customWidth="1"/>
    <col min="4" max="4" width="10.109375" style="77" customWidth="1"/>
    <col min="5" max="6" width="9.88671875" style="77" customWidth="1"/>
    <col min="7" max="7" width="10.21875" style="77" customWidth="1"/>
    <col min="8" max="8" width="10.33203125" style="79" customWidth="1"/>
    <col min="9" max="9" width="10" style="79" customWidth="1"/>
    <col min="10" max="10" width="10.33203125" style="79" customWidth="1"/>
    <col min="11" max="11" width="10" style="79" customWidth="1"/>
    <col min="12" max="15" width="10.33203125" style="80" customWidth="1"/>
    <col min="16" max="16" width="10.33203125" style="77" customWidth="1"/>
    <col min="17" max="17" width="10.33203125" style="81" customWidth="1"/>
    <col min="18" max="19" width="10.109375" style="77" customWidth="1"/>
    <col min="20" max="20" width="9.88671875" style="82" customWidth="1"/>
    <col min="21" max="21" width="10.21875" style="77" customWidth="1"/>
    <col min="22" max="22" width="10.33203125" style="79" customWidth="1"/>
    <col min="23" max="23" width="10" style="79" customWidth="1"/>
    <col min="24" max="24" width="10.33203125" style="79" customWidth="1"/>
    <col min="25" max="25" width="10" style="79" customWidth="1"/>
    <col min="26" max="29" width="10.33203125" style="80" customWidth="1"/>
    <col min="30" max="30" width="11.109375" style="77" customWidth="1"/>
    <col min="31" max="31" width="10.33203125" style="81" customWidth="1"/>
    <col min="32" max="32" width="10.109375" style="77" customWidth="1"/>
    <col min="33" max="33" width="10.33203125" style="77" customWidth="1"/>
    <col min="34" max="34" width="10.33203125" style="79" customWidth="1"/>
    <col min="35" max="35" width="10" style="79" customWidth="1"/>
    <col min="36" max="36" width="10.33203125" style="79" customWidth="1"/>
    <col min="37" max="37" width="10" style="79" customWidth="1"/>
    <col min="38" max="41" width="10.33203125" style="80" customWidth="1"/>
    <col min="42" max="42" width="11.6640625" style="77" customWidth="1"/>
    <col min="43" max="43" width="10.88671875" style="81" customWidth="1"/>
    <col min="44" max="44" width="9.33203125" style="77" customWidth="1"/>
    <col min="45" max="45" width="10.33203125" style="77" customWidth="1"/>
    <col min="46" max="46" width="10.33203125" style="83" customWidth="1"/>
    <col min="47" max="47" width="11.33203125" style="77" customWidth="1"/>
    <col min="48" max="48" width="10.33203125" style="79" customWidth="1"/>
    <col min="49" max="49" width="10" style="79" customWidth="1"/>
    <col min="50" max="50" width="10.33203125" style="79" customWidth="1"/>
    <col min="51" max="51" width="10" style="79" customWidth="1"/>
    <col min="52" max="54" width="10.33203125" style="84" customWidth="1"/>
    <col min="55" max="55" width="11.21875" style="84" customWidth="1"/>
    <col min="56" max="56" width="11.5546875" style="85" customWidth="1"/>
    <col min="57" max="57" width="8.88671875" style="85" customWidth="1"/>
    <col min="58" max="58" width="9.77734375" style="85" bestFit="1" customWidth="1"/>
    <col min="59" max="16384" width="8.88671875" style="85"/>
  </cols>
  <sheetData>
    <row r="1" spans="1:56" s="5" customFormat="1" ht="28.5" customHeight="1" x14ac:dyDescent="0.15">
      <c r="A1" s="101"/>
      <c r="B1" s="102"/>
      <c r="C1" s="102"/>
      <c r="D1" s="102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07" t="s">
        <v>1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126" t="s">
        <v>2</v>
      </c>
      <c r="AQ1" s="127"/>
      <c r="AR1" s="113" t="s">
        <v>3</v>
      </c>
      <c r="AS1" s="113"/>
      <c r="AT1" s="113" t="s">
        <v>4</v>
      </c>
      <c r="AU1" s="113"/>
      <c r="AV1" s="113"/>
      <c r="AW1" s="113"/>
      <c r="AX1" s="113" t="s">
        <v>5</v>
      </c>
      <c r="AY1" s="132"/>
      <c r="AZ1" s="3"/>
      <c r="BA1" s="4"/>
      <c r="BB1" s="4"/>
      <c r="BC1" s="4"/>
    </row>
    <row r="2" spans="1:56" s="5" customFormat="1" ht="15" customHeight="1" x14ac:dyDescent="0.15">
      <c r="A2" s="103"/>
      <c r="B2" s="104"/>
      <c r="C2" s="104"/>
      <c r="D2" s="104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10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128"/>
      <c r="AQ2" s="129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</row>
    <row r="3" spans="1:56" s="5" customFormat="1" ht="39.950000000000003" customHeight="1" x14ac:dyDescent="0.15">
      <c r="A3" s="103"/>
      <c r="B3" s="104"/>
      <c r="C3" s="104"/>
      <c r="D3" s="104"/>
      <c r="E3" s="120" t="s">
        <v>6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2"/>
      <c r="R3" s="138" t="s">
        <v>122</v>
      </c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40"/>
      <c r="AP3" s="128"/>
      <c r="AQ3" s="129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</row>
    <row r="4" spans="1:56" s="5" customFormat="1" ht="39.950000000000003" customHeight="1" thickBot="1" x14ac:dyDescent="0.2">
      <c r="A4" s="105"/>
      <c r="B4" s="106"/>
      <c r="C4" s="106"/>
      <c r="D4" s="106"/>
      <c r="E4" s="123" t="s">
        <v>7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41" t="s">
        <v>8</v>
      </c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30"/>
      <c r="AQ4" s="131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</row>
    <row r="5" spans="1:56" s="10" customFormat="1" ht="21.75" customHeight="1" thickBot="1" x14ac:dyDescent="0.2">
      <c r="A5" s="144"/>
      <c r="B5" s="147" t="s">
        <v>111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112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113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114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9</v>
      </c>
      <c r="BA5" s="172"/>
      <c r="BB5" s="172"/>
      <c r="BC5" s="173"/>
      <c r="BD5" s="155" t="s">
        <v>10</v>
      </c>
    </row>
    <row r="6" spans="1:56" s="11" customFormat="1" ht="21.75" customHeight="1" x14ac:dyDescent="0.15">
      <c r="A6" s="145"/>
      <c r="B6" s="150" t="s">
        <v>106</v>
      </c>
      <c r="C6" s="151"/>
      <c r="D6" s="151"/>
      <c r="E6" s="151" t="s">
        <v>11</v>
      </c>
      <c r="F6" s="153" t="s">
        <v>12</v>
      </c>
      <c r="G6" s="151" t="s">
        <v>13</v>
      </c>
      <c r="H6" s="159" t="s">
        <v>14</v>
      </c>
      <c r="I6" s="159"/>
      <c r="J6" s="159" t="s">
        <v>15</v>
      </c>
      <c r="K6" s="159"/>
      <c r="L6" s="160" t="s">
        <v>16</v>
      </c>
      <c r="M6" s="160"/>
      <c r="N6" s="160"/>
      <c r="O6" s="161"/>
      <c r="P6" s="150" t="s">
        <v>101</v>
      </c>
      <c r="Q6" s="151"/>
      <c r="R6" s="151"/>
      <c r="S6" s="151" t="s">
        <v>11</v>
      </c>
      <c r="T6" s="153" t="s">
        <v>12</v>
      </c>
      <c r="U6" s="151" t="s">
        <v>13</v>
      </c>
      <c r="V6" s="159" t="s">
        <v>14</v>
      </c>
      <c r="W6" s="159"/>
      <c r="X6" s="159" t="s">
        <v>15</v>
      </c>
      <c r="Y6" s="159"/>
      <c r="Z6" s="160" t="s">
        <v>16</v>
      </c>
      <c r="AA6" s="160"/>
      <c r="AB6" s="160"/>
      <c r="AC6" s="161"/>
      <c r="AD6" s="150" t="s">
        <v>103</v>
      </c>
      <c r="AE6" s="151"/>
      <c r="AF6" s="151"/>
      <c r="AG6" s="177" t="s">
        <v>13</v>
      </c>
      <c r="AH6" s="158" t="s">
        <v>14</v>
      </c>
      <c r="AI6" s="159"/>
      <c r="AJ6" s="159" t="s">
        <v>15</v>
      </c>
      <c r="AK6" s="159"/>
      <c r="AL6" s="160" t="s">
        <v>16</v>
      </c>
      <c r="AM6" s="160"/>
      <c r="AN6" s="160"/>
      <c r="AO6" s="161"/>
      <c r="AP6" s="150" t="s">
        <v>104</v>
      </c>
      <c r="AQ6" s="151"/>
      <c r="AR6" s="151"/>
      <c r="AS6" s="151" t="s">
        <v>11</v>
      </c>
      <c r="AT6" s="151" t="s">
        <v>12</v>
      </c>
      <c r="AU6" s="162" t="s">
        <v>13</v>
      </c>
      <c r="AV6" s="164" t="s">
        <v>14</v>
      </c>
      <c r="AW6" s="165"/>
      <c r="AX6" s="164" t="s">
        <v>15</v>
      </c>
      <c r="AY6" s="165"/>
      <c r="AZ6" s="174" t="s">
        <v>16</v>
      </c>
      <c r="BA6" s="175"/>
      <c r="BB6" s="175"/>
      <c r="BC6" s="176"/>
      <c r="BD6" s="156"/>
    </row>
    <row r="7" spans="1:56" s="25" customFormat="1" ht="21" customHeight="1" thickBot="1" x14ac:dyDescent="0.2">
      <c r="A7" s="146"/>
      <c r="B7" s="12" t="s">
        <v>17</v>
      </c>
      <c r="C7" s="13" t="s">
        <v>18</v>
      </c>
      <c r="D7" s="14" t="s">
        <v>19</v>
      </c>
      <c r="E7" s="152"/>
      <c r="F7" s="154"/>
      <c r="G7" s="152"/>
      <c r="H7" s="15" t="s">
        <v>20</v>
      </c>
      <c r="I7" s="15" t="s">
        <v>21</v>
      </c>
      <c r="J7" s="15" t="s">
        <v>20</v>
      </c>
      <c r="K7" s="15" t="s">
        <v>21</v>
      </c>
      <c r="L7" s="16" t="s">
        <v>22</v>
      </c>
      <c r="M7" s="16" t="s">
        <v>23</v>
      </c>
      <c r="N7" s="16" t="s">
        <v>24</v>
      </c>
      <c r="O7" s="17" t="s">
        <v>13</v>
      </c>
      <c r="P7" s="12" t="s">
        <v>17</v>
      </c>
      <c r="Q7" s="13" t="s">
        <v>18</v>
      </c>
      <c r="R7" s="14" t="s">
        <v>19</v>
      </c>
      <c r="S7" s="152"/>
      <c r="T7" s="154"/>
      <c r="U7" s="152"/>
      <c r="V7" s="15" t="s">
        <v>25</v>
      </c>
      <c r="W7" s="15" t="s">
        <v>21</v>
      </c>
      <c r="X7" s="15" t="s">
        <v>20</v>
      </c>
      <c r="Y7" s="15" t="s">
        <v>21</v>
      </c>
      <c r="Z7" s="16" t="s">
        <v>22</v>
      </c>
      <c r="AA7" s="16" t="s">
        <v>23</v>
      </c>
      <c r="AB7" s="16" t="s">
        <v>24</v>
      </c>
      <c r="AC7" s="17" t="s">
        <v>13</v>
      </c>
      <c r="AD7" s="12" t="s">
        <v>17</v>
      </c>
      <c r="AE7" s="13" t="s">
        <v>18</v>
      </c>
      <c r="AF7" s="14" t="s">
        <v>19</v>
      </c>
      <c r="AG7" s="178"/>
      <c r="AH7" s="19" t="s">
        <v>20</v>
      </c>
      <c r="AI7" s="15" t="s">
        <v>21</v>
      </c>
      <c r="AJ7" s="15" t="s">
        <v>20</v>
      </c>
      <c r="AK7" s="15" t="s">
        <v>21</v>
      </c>
      <c r="AL7" s="16" t="s">
        <v>22</v>
      </c>
      <c r="AM7" s="16" t="s">
        <v>23</v>
      </c>
      <c r="AN7" s="16" t="s">
        <v>24</v>
      </c>
      <c r="AO7" s="17" t="s">
        <v>13</v>
      </c>
      <c r="AP7" s="12" t="s">
        <v>17</v>
      </c>
      <c r="AQ7" s="13" t="s">
        <v>18</v>
      </c>
      <c r="AR7" s="14" t="s">
        <v>19</v>
      </c>
      <c r="AS7" s="152"/>
      <c r="AT7" s="152"/>
      <c r="AU7" s="163"/>
      <c r="AV7" s="20" t="s">
        <v>20</v>
      </c>
      <c r="AW7" s="21" t="s">
        <v>21</v>
      </c>
      <c r="AX7" s="20" t="s">
        <v>20</v>
      </c>
      <c r="AY7" s="21" t="s">
        <v>21</v>
      </c>
      <c r="AZ7" s="22" t="s">
        <v>22</v>
      </c>
      <c r="BA7" s="23" t="s">
        <v>23</v>
      </c>
      <c r="BB7" s="23" t="s">
        <v>24</v>
      </c>
      <c r="BC7" s="24" t="s">
        <v>13</v>
      </c>
      <c r="BD7" s="157"/>
    </row>
    <row r="8" spans="1:56" s="52" customFormat="1" ht="21.75" customHeight="1" x14ac:dyDescent="0.15">
      <c r="A8" s="26">
        <v>46054</v>
      </c>
      <c r="B8" s="27">
        <v>0</v>
      </c>
      <c r="C8" s="28">
        <v>0</v>
      </c>
      <c r="D8" s="29">
        <v>0</v>
      </c>
      <c r="E8" s="30">
        <v>0</v>
      </c>
      <c r="F8" s="31">
        <v>0</v>
      </c>
      <c r="G8" s="32">
        <f t="shared" ref="G8:G13" si="0">B8+E8+F8</f>
        <v>0</v>
      </c>
      <c r="H8" s="33">
        <v>0</v>
      </c>
      <c r="I8" s="34">
        <v>0</v>
      </c>
      <c r="J8" s="35">
        <v>0</v>
      </c>
      <c r="K8" s="36">
        <v>0</v>
      </c>
      <c r="L8" s="37">
        <v>0</v>
      </c>
      <c r="M8" s="38">
        <v>0</v>
      </c>
      <c r="N8" s="38">
        <v>0</v>
      </c>
      <c r="O8" s="39">
        <f t="shared" ref="O8:O13" si="1">SUM(L8:N8)</f>
        <v>0</v>
      </c>
      <c r="P8" s="40">
        <v>0</v>
      </c>
      <c r="Q8" s="28">
        <v>0</v>
      </c>
      <c r="R8" s="29">
        <v>0</v>
      </c>
      <c r="S8" s="30">
        <v>0</v>
      </c>
      <c r="T8" s="31">
        <v>0</v>
      </c>
      <c r="U8" s="32">
        <f t="shared" ref="U8:U13" si="2">P8+S8+T8</f>
        <v>0</v>
      </c>
      <c r="V8" s="33">
        <v>0</v>
      </c>
      <c r="W8" s="34">
        <v>0</v>
      </c>
      <c r="X8" s="35">
        <v>0</v>
      </c>
      <c r="Y8" s="36">
        <v>0</v>
      </c>
      <c r="Z8" s="37">
        <v>0</v>
      </c>
      <c r="AA8" s="38">
        <v>0</v>
      </c>
      <c r="AB8" s="38">
        <v>0</v>
      </c>
      <c r="AC8" s="39">
        <f t="shared" ref="AC8:AC13" si="3">SUM(Z8:AB8)</f>
        <v>0</v>
      </c>
      <c r="AD8" s="45">
        <v>0</v>
      </c>
      <c r="AE8" s="28">
        <v>0</v>
      </c>
      <c r="AF8" s="41">
        <v>0</v>
      </c>
      <c r="AG8" s="32">
        <f t="shared" ref="AG8:AG13" si="4">AD8</f>
        <v>0</v>
      </c>
      <c r="AH8" s="35">
        <v>0</v>
      </c>
      <c r="AI8" s="43">
        <v>0</v>
      </c>
      <c r="AJ8" s="35">
        <v>0</v>
      </c>
      <c r="AK8" s="43">
        <v>0</v>
      </c>
      <c r="AL8" s="44">
        <v>0</v>
      </c>
      <c r="AM8" s="38">
        <v>0</v>
      </c>
      <c r="AN8" s="38">
        <v>0</v>
      </c>
      <c r="AO8" s="39">
        <f t="shared" ref="AO8:AO13" si="5">SUM(AL8:AN8)</f>
        <v>0</v>
      </c>
      <c r="AP8" s="40">
        <f t="shared" ref="AP8:AP13" si="6">AD8+P8+B8</f>
        <v>0</v>
      </c>
      <c r="AQ8" s="28">
        <v>0</v>
      </c>
      <c r="AR8" s="41">
        <v>0</v>
      </c>
      <c r="AS8" s="30">
        <f t="shared" ref="AS8:AT10" si="7">E8+S8</f>
        <v>0</v>
      </c>
      <c r="AT8" s="30">
        <f t="shared" si="7"/>
        <v>0</v>
      </c>
      <c r="AU8" s="42">
        <f t="shared" ref="AU8:AU13" si="8">AP8+AS8+AT8</f>
        <v>0</v>
      </c>
      <c r="AV8" s="33">
        <f t="shared" ref="AV8:AY9" si="9">SUM(H8,V8,AH8)</f>
        <v>0</v>
      </c>
      <c r="AW8" s="46">
        <f t="shared" si="9"/>
        <v>0</v>
      </c>
      <c r="AX8" s="33">
        <f t="shared" si="9"/>
        <v>0</v>
      </c>
      <c r="AY8" s="46">
        <f t="shared" si="9"/>
        <v>0</v>
      </c>
      <c r="AZ8" s="48">
        <f t="shared" ref="AZ8:BB9" si="10">L8+Z8+AL8</f>
        <v>0</v>
      </c>
      <c r="BA8" s="49">
        <f t="shared" si="10"/>
        <v>0</v>
      </c>
      <c r="BB8" s="49">
        <f t="shared" si="10"/>
        <v>0</v>
      </c>
      <c r="BC8" s="50">
        <f t="shared" ref="BC8:BC13" si="11">SUM(AZ8:BB8)</f>
        <v>0</v>
      </c>
      <c r="BD8" s="51">
        <v>0</v>
      </c>
    </row>
    <row r="9" spans="1:56" s="52" customFormat="1" ht="21.75" customHeight="1" x14ac:dyDescent="0.15">
      <c r="A9" s="53">
        <v>46055</v>
      </c>
      <c r="B9" s="27">
        <v>140143</v>
      </c>
      <c r="C9" s="28">
        <v>145000</v>
      </c>
      <c r="D9" s="29">
        <f>B9/C9</f>
        <v>0.9665034482758621</v>
      </c>
      <c r="E9" s="30">
        <v>46984</v>
      </c>
      <c r="F9" s="31">
        <v>196209</v>
      </c>
      <c r="G9" s="32">
        <f t="shared" si="0"/>
        <v>383336</v>
      </c>
      <c r="H9" s="33">
        <v>0</v>
      </c>
      <c r="I9" s="34">
        <v>0</v>
      </c>
      <c r="J9" s="35">
        <v>0</v>
      </c>
      <c r="K9" s="36">
        <v>0</v>
      </c>
      <c r="L9" s="37">
        <v>80729</v>
      </c>
      <c r="M9" s="38">
        <v>59414</v>
      </c>
      <c r="N9" s="38">
        <v>0</v>
      </c>
      <c r="O9" s="39">
        <f t="shared" si="1"/>
        <v>140143</v>
      </c>
      <c r="P9" s="40">
        <v>58408</v>
      </c>
      <c r="Q9" s="28">
        <v>70000</v>
      </c>
      <c r="R9" s="29">
        <f>P9/Q9</f>
        <v>0.83440000000000003</v>
      </c>
      <c r="S9" s="30">
        <v>0</v>
      </c>
      <c r="T9" s="31">
        <v>85250</v>
      </c>
      <c r="U9" s="32">
        <f t="shared" si="2"/>
        <v>143658</v>
      </c>
      <c r="V9" s="33">
        <v>0</v>
      </c>
      <c r="W9" s="34">
        <v>0</v>
      </c>
      <c r="X9" s="35">
        <v>0</v>
      </c>
      <c r="Y9" s="36">
        <v>0</v>
      </c>
      <c r="Z9" s="37">
        <v>0</v>
      </c>
      <c r="AA9" s="38">
        <v>58408</v>
      </c>
      <c r="AB9" s="38">
        <v>0</v>
      </c>
      <c r="AC9" s="39">
        <f t="shared" si="3"/>
        <v>58408</v>
      </c>
      <c r="AD9" s="45">
        <v>79340</v>
      </c>
      <c r="AE9" s="28">
        <v>200000</v>
      </c>
      <c r="AF9" s="41">
        <f>AD9/AE9</f>
        <v>0.3967</v>
      </c>
      <c r="AG9" s="32">
        <f t="shared" si="4"/>
        <v>79340</v>
      </c>
      <c r="AH9" s="35">
        <v>0</v>
      </c>
      <c r="AI9" s="43">
        <v>0</v>
      </c>
      <c r="AJ9" s="35">
        <v>0</v>
      </c>
      <c r="AK9" s="43">
        <v>0</v>
      </c>
      <c r="AL9" s="44">
        <v>79340</v>
      </c>
      <c r="AM9" s="38">
        <v>0</v>
      </c>
      <c r="AN9" s="38">
        <v>0</v>
      </c>
      <c r="AO9" s="39">
        <f t="shared" si="5"/>
        <v>79340</v>
      </c>
      <c r="AP9" s="40">
        <f t="shared" si="6"/>
        <v>277891</v>
      </c>
      <c r="AQ9" s="28">
        <v>415000</v>
      </c>
      <c r="AR9" s="41">
        <f>AP9/AQ9</f>
        <v>0.66961686746987947</v>
      </c>
      <c r="AS9" s="30">
        <f t="shared" si="7"/>
        <v>46984</v>
      </c>
      <c r="AT9" s="30">
        <f t="shared" si="7"/>
        <v>281459</v>
      </c>
      <c r="AU9" s="42">
        <f t="shared" si="8"/>
        <v>606334</v>
      </c>
      <c r="AV9" s="33">
        <f t="shared" si="9"/>
        <v>0</v>
      </c>
      <c r="AW9" s="46">
        <f t="shared" si="9"/>
        <v>0</v>
      </c>
      <c r="AX9" s="33">
        <f t="shared" si="9"/>
        <v>0</v>
      </c>
      <c r="AY9" s="46">
        <f t="shared" si="9"/>
        <v>0</v>
      </c>
      <c r="AZ9" s="48">
        <f t="shared" si="10"/>
        <v>160069</v>
      </c>
      <c r="BA9" s="49">
        <f t="shared" si="10"/>
        <v>117822</v>
      </c>
      <c r="BB9" s="49">
        <f t="shared" si="10"/>
        <v>0</v>
      </c>
      <c r="BC9" s="50">
        <f t="shared" si="11"/>
        <v>277891</v>
      </c>
      <c r="BD9" s="51">
        <v>0</v>
      </c>
    </row>
    <row r="10" spans="1:56" s="52" customFormat="1" ht="21.75" customHeight="1" x14ac:dyDescent="0.15">
      <c r="A10" s="53">
        <v>46056</v>
      </c>
      <c r="B10" s="27">
        <v>70700</v>
      </c>
      <c r="C10" s="28">
        <v>145000</v>
      </c>
      <c r="D10" s="29">
        <f>B10/C10</f>
        <v>0.48758620689655174</v>
      </c>
      <c r="E10" s="30">
        <v>261908</v>
      </c>
      <c r="F10" s="31">
        <v>114300</v>
      </c>
      <c r="G10" s="32">
        <f t="shared" si="0"/>
        <v>446908</v>
      </c>
      <c r="H10" s="33">
        <v>0</v>
      </c>
      <c r="I10" s="34">
        <v>0</v>
      </c>
      <c r="J10" s="35">
        <v>0</v>
      </c>
      <c r="K10" s="36">
        <v>0</v>
      </c>
      <c r="L10" s="37">
        <v>0</v>
      </c>
      <c r="M10" s="38">
        <v>70700</v>
      </c>
      <c r="N10" s="38">
        <v>0</v>
      </c>
      <c r="O10" s="39">
        <f t="shared" si="1"/>
        <v>70700</v>
      </c>
      <c r="P10" s="40">
        <v>58787</v>
      </c>
      <c r="Q10" s="28">
        <v>70000</v>
      </c>
      <c r="R10" s="29">
        <f>P10/Q10</f>
        <v>0.83981428571428574</v>
      </c>
      <c r="S10" s="30">
        <v>14302</v>
      </c>
      <c r="T10" s="31">
        <v>0</v>
      </c>
      <c r="U10" s="32">
        <f t="shared" si="2"/>
        <v>73089</v>
      </c>
      <c r="V10" s="33">
        <v>0</v>
      </c>
      <c r="W10" s="34">
        <v>0</v>
      </c>
      <c r="X10" s="35">
        <v>0</v>
      </c>
      <c r="Y10" s="36">
        <v>0</v>
      </c>
      <c r="Z10" s="37">
        <v>0</v>
      </c>
      <c r="AA10" s="38">
        <v>58787</v>
      </c>
      <c r="AB10" s="38">
        <v>0</v>
      </c>
      <c r="AC10" s="39">
        <f t="shared" si="3"/>
        <v>58787</v>
      </c>
      <c r="AD10" s="45">
        <v>257138</v>
      </c>
      <c r="AE10" s="28">
        <v>200000</v>
      </c>
      <c r="AF10" s="41">
        <f>AD10/AE10</f>
        <v>1.28569</v>
      </c>
      <c r="AG10" s="32">
        <f t="shared" si="4"/>
        <v>257138</v>
      </c>
      <c r="AH10" s="35">
        <v>0</v>
      </c>
      <c r="AI10" s="43">
        <v>0</v>
      </c>
      <c r="AJ10" s="35">
        <v>0</v>
      </c>
      <c r="AK10" s="43">
        <v>0</v>
      </c>
      <c r="AL10" s="44">
        <v>252040</v>
      </c>
      <c r="AM10" s="38">
        <v>5098</v>
      </c>
      <c r="AN10" s="38">
        <v>0</v>
      </c>
      <c r="AO10" s="39">
        <f t="shared" si="5"/>
        <v>257138</v>
      </c>
      <c r="AP10" s="40">
        <f t="shared" si="6"/>
        <v>386625</v>
      </c>
      <c r="AQ10" s="28">
        <v>415000</v>
      </c>
      <c r="AR10" s="41">
        <f>AP10/AQ10</f>
        <v>0.93162650602409636</v>
      </c>
      <c r="AS10" s="30">
        <f t="shared" si="7"/>
        <v>276210</v>
      </c>
      <c r="AT10" s="30">
        <f t="shared" si="7"/>
        <v>114300</v>
      </c>
      <c r="AU10" s="42">
        <f t="shared" si="8"/>
        <v>777135</v>
      </c>
      <c r="AV10" s="33">
        <f t="shared" ref="AV10" si="12">SUM(H10,V10,AH10)</f>
        <v>0</v>
      </c>
      <c r="AW10" s="46">
        <f t="shared" ref="AW10" si="13">SUM(I10,W10,AI10)</f>
        <v>0</v>
      </c>
      <c r="AX10" s="33">
        <f t="shared" ref="AX10" si="14">SUM(J10,X10,AJ10)</f>
        <v>0</v>
      </c>
      <c r="AY10" s="46">
        <f t="shared" ref="AY10" si="15">SUM(K10,Y10,AK10)</f>
        <v>0</v>
      </c>
      <c r="AZ10" s="48">
        <f t="shared" ref="AZ10" si="16">L10+Z10+AL10</f>
        <v>252040</v>
      </c>
      <c r="BA10" s="49">
        <f t="shared" ref="BA10" si="17">M10+AA10+AM10</f>
        <v>134585</v>
      </c>
      <c r="BB10" s="49">
        <f t="shared" ref="BB10" si="18">N10+AB10+AN10</f>
        <v>0</v>
      </c>
      <c r="BC10" s="50">
        <f t="shared" si="11"/>
        <v>386625</v>
      </c>
      <c r="BD10" s="51"/>
    </row>
    <row r="11" spans="1:56" s="52" customFormat="1" ht="21.75" customHeight="1" x14ac:dyDescent="0.15">
      <c r="A11" s="53">
        <v>46057</v>
      </c>
      <c r="B11" s="27">
        <v>42676</v>
      </c>
      <c r="C11" s="28">
        <v>145000</v>
      </c>
      <c r="D11" s="29">
        <f>B11/C11</f>
        <v>0.29431724137931037</v>
      </c>
      <c r="E11" s="30">
        <v>275074</v>
      </c>
      <c r="F11" s="31">
        <v>419350</v>
      </c>
      <c r="G11" s="32">
        <f t="shared" si="0"/>
        <v>737100</v>
      </c>
      <c r="H11" s="33">
        <v>0</v>
      </c>
      <c r="I11" s="34">
        <v>0</v>
      </c>
      <c r="J11" s="35">
        <v>0</v>
      </c>
      <c r="K11" s="36">
        <v>0</v>
      </c>
      <c r="L11" s="37">
        <v>42676</v>
      </c>
      <c r="M11" s="38">
        <v>0</v>
      </c>
      <c r="N11" s="38">
        <v>0</v>
      </c>
      <c r="O11" s="39">
        <f t="shared" si="1"/>
        <v>42676</v>
      </c>
      <c r="P11" s="40">
        <v>71136</v>
      </c>
      <c r="Q11" s="28">
        <v>70000</v>
      </c>
      <c r="R11" s="29">
        <f>P11/Q11</f>
        <v>1.0162285714285715</v>
      </c>
      <c r="S11" s="30">
        <v>3910</v>
      </c>
      <c r="T11" s="31">
        <v>35700</v>
      </c>
      <c r="U11" s="32">
        <f t="shared" si="2"/>
        <v>110746</v>
      </c>
      <c r="V11" s="33">
        <v>0</v>
      </c>
      <c r="W11" s="34">
        <v>0</v>
      </c>
      <c r="X11" s="35">
        <v>0</v>
      </c>
      <c r="Y11" s="36">
        <v>23154</v>
      </c>
      <c r="Z11" s="37">
        <v>47112</v>
      </c>
      <c r="AA11" s="38">
        <v>24024</v>
      </c>
      <c r="AB11" s="38">
        <v>0</v>
      </c>
      <c r="AC11" s="39">
        <f t="shared" si="3"/>
        <v>71136</v>
      </c>
      <c r="AD11" s="45">
        <v>312892</v>
      </c>
      <c r="AE11" s="28">
        <v>200000</v>
      </c>
      <c r="AF11" s="41">
        <f>AD11/AE11</f>
        <v>1.56446</v>
      </c>
      <c r="AG11" s="32">
        <f t="shared" si="4"/>
        <v>312892</v>
      </c>
      <c r="AH11" s="35">
        <v>0</v>
      </c>
      <c r="AI11" s="43">
        <v>0</v>
      </c>
      <c r="AJ11" s="35">
        <v>5210</v>
      </c>
      <c r="AK11" s="43">
        <v>0</v>
      </c>
      <c r="AL11" s="44">
        <v>221130</v>
      </c>
      <c r="AM11" s="38">
        <v>0</v>
      </c>
      <c r="AN11" s="38">
        <v>91762</v>
      </c>
      <c r="AO11" s="39">
        <f t="shared" si="5"/>
        <v>312892</v>
      </c>
      <c r="AP11" s="40">
        <f t="shared" si="6"/>
        <v>426704</v>
      </c>
      <c r="AQ11" s="28">
        <v>415000</v>
      </c>
      <c r="AR11" s="41">
        <f>AP11/AQ11</f>
        <v>1.0282024096385542</v>
      </c>
      <c r="AS11" s="30">
        <f t="shared" ref="AS11:AS18" si="19">E11+S11</f>
        <v>278984</v>
      </c>
      <c r="AT11" s="30">
        <f t="shared" ref="AT11:AT18" si="20">F11+T11</f>
        <v>455050</v>
      </c>
      <c r="AU11" s="42">
        <f t="shared" si="8"/>
        <v>1160738</v>
      </c>
      <c r="AV11" s="33">
        <f t="shared" ref="AV11:AV18" si="21">SUM(H11,V11,AH11)</f>
        <v>0</v>
      </c>
      <c r="AW11" s="46">
        <f t="shared" ref="AW11:AW18" si="22">SUM(I11,W11,AI11)</f>
        <v>0</v>
      </c>
      <c r="AX11" s="33">
        <f t="shared" ref="AX11:AX18" si="23">SUM(J11,X11,AJ11)</f>
        <v>5210</v>
      </c>
      <c r="AY11" s="46">
        <f t="shared" ref="AY11:AY18" si="24">SUM(K11,Y11,AK11)</f>
        <v>23154</v>
      </c>
      <c r="AZ11" s="48">
        <f t="shared" ref="AZ11:AZ18" si="25">L11+Z11+AL11</f>
        <v>310918</v>
      </c>
      <c r="BA11" s="49">
        <f t="shared" ref="BA11:BA18" si="26">M11+AA11+AM11</f>
        <v>24024</v>
      </c>
      <c r="BB11" s="49">
        <f t="shared" ref="BB11:BB18" si="27">N11+AB11+AN11</f>
        <v>91762</v>
      </c>
      <c r="BC11" s="50">
        <f t="shared" si="11"/>
        <v>426704</v>
      </c>
      <c r="BD11" s="51"/>
    </row>
    <row r="12" spans="1:56" s="52" customFormat="1" ht="21.75" customHeight="1" x14ac:dyDescent="0.15">
      <c r="A12" s="53">
        <v>46058</v>
      </c>
      <c r="B12" s="27">
        <v>85551</v>
      </c>
      <c r="C12" s="28">
        <v>145000</v>
      </c>
      <c r="D12" s="29">
        <f>B12/C12</f>
        <v>0.59000689655172411</v>
      </c>
      <c r="E12" s="30">
        <v>118524</v>
      </c>
      <c r="F12" s="31">
        <v>114300</v>
      </c>
      <c r="G12" s="32">
        <f t="shared" si="0"/>
        <v>318375</v>
      </c>
      <c r="H12" s="33">
        <v>0</v>
      </c>
      <c r="I12" s="34">
        <v>0</v>
      </c>
      <c r="J12" s="35">
        <v>0</v>
      </c>
      <c r="K12" s="36">
        <v>0</v>
      </c>
      <c r="L12" s="37">
        <v>57340</v>
      </c>
      <c r="M12" s="38">
        <v>28211</v>
      </c>
      <c r="N12" s="38">
        <v>0</v>
      </c>
      <c r="O12" s="39">
        <f t="shared" si="1"/>
        <v>85551</v>
      </c>
      <c r="P12" s="40">
        <v>20448</v>
      </c>
      <c r="Q12" s="28">
        <v>70000</v>
      </c>
      <c r="R12" s="29">
        <f>P12/Q12</f>
        <v>0.29211428571428572</v>
      </c>
      <c r="S12" s="30">
        <v>0</v>
      </c>
      <c r="T12" s="31">
        <v>60500</v>
      </c>
      <c r="U12" s="32">
        <f t="shared" si="2"/>
        <v>80948</v>
      </c>
      <c r="V12" s="33">
        <v>0</v>
      </c>
      <c r="W12" s="34">
        <v>0</v>
      </c>
      <c r="X12" s="35">
        <v>6247</v>
      </c>
      <c r="Y12" s="36">
        <v>0</v>
      </c>
      <c r="Z12" s="37">
        <v>0</v>
      </c>
      <c r="AA12" s="38">
        <v>20448</v>
      </c>
      <c r="AB12" s="38">
        <v>0</v>
      </c>
      <c r="AC12" s="39">
        <f t="shared" si="3"/>
        <v>20448</v>
      </c>
      <c r="AD12" s="45">
        <v>194450</v>
      </c>
      <c r="AE12" s="28">
        <v>200000</v>
      </c>
      <c r="AF12" s="41">
        <f>AD12/AE12</f>
        <v>0.97224999999999995</v>
      </c>
      <c r="AG12" s="32">
        <f t="shared" si="4"/>
        <v>194450</v>
      </c>
      <c r="AH12" s="35">
        <v>0</v>
      </c>
      <c r="AI12" s="43">
        <v>0</v>
      </c>
      <c r="AJ12" s="35">
        <v>84540</v>
      </c>
      <c r="AK12" s="43">
        <v>0</v>
      </c>
      <c r="AL12" s="44">
        <v>142770</v>
      </c>
      <c r="AM12" s="38">
        <v>51680</v>
      </c>
      <c r="AN12" s="38">
        <v>0</v>
      </c>
      <c r="AO12" s="39">
        <f t="shared" si="5"/>
        <v>194450</v>
      </c>
      <c r="AP12" s="40">
        <f t="shared" si="6"/>
        <v>300449</v>
      </c>
      <c r="AQ12" s="28">
        <v>415000</v>
      </c>
      <c r="AR12" s="41">
        <f>AP12/AQ12</f>
        <v>0.7239734939759036</v>
      </c>
      <c r="AS12" s="30">
        <f t="shared" si="19"/>
        <v>118524</v>
      </c>
      <c r="AT12" s="30">
        <f t="shared" si="20"/>
        <v>174800</v>
      </c>
      <c r="AU12" s="42">
        <f t="shared" si="8"/>
        <v>593773</v>
      </c>
      <c r="AV12" s="33">
        <f t="shared" si="21"/>
        <v>0</v>
      </c>
      <c r="AW12" s="46">
        <f t="shared" si="22"/>
        <v>0</v>
      </c>
      <c r="AX12" s="33">
        <f t="shared" si="23"/>
        <v>90787</v>
      </c>
      <c r="AY12" s="47">
        <f t="shared" si="24"/>
        <v>0</v>
      </c>
      <c r="AZ12" s="48">
        <f t="shared" si="25"/>
        <v>200110</v>
      </c>
      <c r="BA12" s="49">
        <f t="shared" si="26"/>
        <v>100339</v>
      </c>
      <c r="BB12" s="49">
        <f t="shared" si="27"/>
        <v>0</v>
      </c>
      <c r="BC12" s="50">
        <f t="shared" si="11"/>
        <v>300449</v>
      </c>
      <c r="BD12" s="51"/>
    </row>
    <row r="13" spans="1:56" s="52" customFormat="1" ht="21.75" customHeight="1" x14ac:dyDescent="0.15">
      <c r="A13" s="53">
        <v>46059</v>
      </c>
      <c r="B13" s="27">
        <v>118578</v>
      </c>
      <c r="C13" s="28">
        <v>145000</v>
      </c>
      <c r="D13" s="29">
        <f>B13/C13</f>
        <v>0.81777931034482754</v>
      </c>
      <c r="E13" s="30">
        <v>227868</v>
      </c>
      <c r="F13" s="31">
        <v>315259</v>
      </c>
      <c r="G13" s="32">
        <f t="shared" si="0"/>
        <v>661705</v>
      </c>
      <c r="H13" s="33">
        <v>0</v>
      </c>
      <c r="I13" s="34">
        <v>0</v>
      </c>
      <c r="J13" s="35">
        <v>0</v>
      </c>
      <c r="K13" s="36">
        <v>0</v>
      </c>
      <c r="L13" s="37">
        <v>118578</v>
      </c>
      <c r="M13" s="38">
        <v>0</v>
      </c>
      <c r="N13" s="38">
        <v>0</v>
      </c>
      <c r="O13" s="39">
        <f t="shared" si="1"/>
        <v>118578</v>
      </c>
      <c r="P13" s="40">
        <v>123615</v>
      </c>
      <c r="Q13" s="28">
        <v>70000</v>
      </c>
      <c r="R13" s="29">
        <f>P13/Q13</f>
        <v>1.7659285714285715</v>
      </c>
      <c r="S13" s="30">
        <v>29749</v>
      </c>
      <c r="T13" s="31">
        <v>15850</v>
      </c>
      <c r="U13" s="32">
        <f t="shared" si="2"/>
        <v>169214</v>
      </c>
      <c r="V13" s="33">
        <v>0</v>
      </c>
      <c r="W13" s="34">
        <v>0</v>
      </c>
      <c r="X13" s="35">
        <v>21763</v>
      </c>
      <c r="Y13" s="36">
        <v>0</v>
      </c>
      <c r="Z13" s="37">
        <v>70582</v>
      </c>
      <c r="AA13" s="38">
        <v>53033</v>
      </c>
      <c r="AB13" s="38">
        <v>0</v>
      </c>
      <c r="AC13" s="39">
        <f t="shared" si="3"/>
        <v>123615</v>
      </c>
      <c r="AD13" s="45">
        <v>213977</v>
      </c>
      <c r="AE13" s="28">
        <v>200000</v>
      </c>
      <c r="AF13" s="41">
        <f>AD13/AE13</f>
        <v>1.069885</v>
      </c>
      <c r="AG13" s="32">
        <f t="shared" si="4"/>
        <v>213977</v>
      </c>
      <c r="AH13" s="35">
        <v>0</v>
      </c>
      <c r="AI13" s="43">
        <v>0</v>
      </c>
      <c r="AJ13" s="35">
        <v>0</v>
      </c>
      <c r="AK13" s="43">
        <v>0</v>
      </c>
      <c r="AL13" s="44">
        <v>200728</v>
      </c>
      <c r="AM13" s="38">
        <v>13249</v>
      </c>
      <c r="AN13" s="38">
        <v>0</v>
      </c>
      <c r="AO13" s="39">
        <f t="shared" si="5"/>
        <v>213977</v>
      </c>
      <c r="AP13" s="40">
        <f t="shared" si="6"/>
        <v>456170</v>
      </c>
      <c r="AQ13" s="28">
        <v>415000</v>
      </c>
      <c r="AR13" s="41">
        <f>AP13/AQ13</f>
        <v>1.0992048192771084</v>
      </c>
      <c r="AS13" s="30">
        <f t="shared" si="19"/>
        <v>257617</v>
      </c>
      <c r="AT13" s="30">
        <f t="shared" si="20"/>
        <v>331109</v>
      </c>
      <c r="AU13" s="42">
        <f t="shared" si="8"/>
        <v>1044896</v>
      </c>
      <c r="AV13" s="33">
        <f t="shared" si="21"/>
        <v>0</v>
      </c>
      <c r="AW13" s="46">
        <f t="shared" si="22"/>
        <v>0</v>
      </c>
      <c r="AX13" s="33">
        <f t="shared" si="23"/>
        <v>21763</v>
      </c>
      <c r="AY13" s="47">
        <f t="shared" si="24"/>
        <v>0</v>
      </c>
      <c r="AZ13" s="48">
        <f t="shared" si="25"/>
        <v>389888</v>
      </c>
      <c r="BA13" s="49">
        <f t="shared" si="26"/>
        <v>66282</v>
      </c>
      <c r="BB13" s="49">
        <f t="shared" si="27"/>
        <v>0</v>
      </c>
      <c r="BC13" s="50">
        <f t="shared" si="11"/>
        <v>456170</v>
      </c>
      <c r="BD13" s="51"/>
    </row>
    <row r="14" spans="1:56" s="52" customFormat="1" ht="21.75" customHeight="1" x14ac:dyDescent="0.15">
      <c r="A14" s="26">
        <v>46060</v>
      </c>
      <c r="B14" s="27">
        <v>0</v>
      </c>
      <c r="C14" s="28">
        <v>0</v>
      </c>
      <c r="D14" s="29">
        <v>0</v>
      </c>
      <c r="E14" s="30">
        <v>0</v>
      </c>
      <c r="F14" s="31">
        <v>0</v>
      </c>
      <c r="G14" s="32">
        <f t="shared" ref="G14:G20" si="28">B14+E14+F14</f>
        <v>0</v>
      </c>
      <c r="H14" s="33">
        <v>0</v>
      </c>
      <c r="I14" s="34">
        <v>0</v>
      </c>
      <c r="J14" s="35">
        <v>0</v>
      </c>
      <c r="K14" s="36">
        <v>0</v>
      </c>
      <c r="L14" s="37">
        <v>0</v>
      </c>
      <c r="M14" s="38">
        <v>0</v>
      </c>
      <c r="N14" s="38">
        <v>0</v>
      </c>
      <c r="O14" s="39">
        <f t="shared" ref="O14:O20" si="29">SUM(L14:N14)</f>
        <v>0</v>
      </c>
      <c r="P14" s="40">
        <v>0</v>
      </c>
      <c r="Q14" s="28">
        <v>0</v>
      </c>
      <c r="R14" s="29">
        <v>0</v>
      </c>
      <c r="S14" s="30">
        <v>0</v>
      </c>
      <c r="T14" s="31">
        <v>0</v>
      </c>
      <c r="U14" s="32">
        <f t="shared" ref="U14:U20" si="30">P14+S14+T14</f>
        <v>0</v>
      </c>
      <c r="V14" s="33">
        <v>0</v>
      </c>
      <c r="W14" s="34">
        <v>0</v>
      </c>
      <c r="X14" s="35">
        <v>0</v>
      </c>
      <c r="Y14" s="36">
        <v>0</v>
      </c>
      <c r="Z14" s="37">
        <v>0</v>
      </c>
      <c r="AA14" s="38">
        <v>0</v>
      </c>
      <c r="AB14" s="38">
        <v>0</v>
      </c>
      <c r="AC14" s="39">
        <f t="shared" ref="AC14:AC20" si="31">SUM(Z14:AB14)</f>
        <v>0</v>
      </c>
      <c r="AD14" s="45">
        <v>0</v>
      </c>
      <c r="AE14" s="28">
        <v>0</v>
      </c>
      <c r="AF14" s="41">
        <v>0</v>
      </c>
      <c r="AG14" s="32">
        <f t="shared" ref="AG14:AG20" si="32">AD14</f>
        <v>0</v>
      </c>
      <c r="AH14" s="35">
        <v>0</v>
      </c>
      <c r="AI14" s="43">
        <v>0</v>
      </c>
      <c r="AJ14" s="35">
        <v>0</v>
      </c>
      <c r="AK14" s="43">
        <v>0</v>
      </c>
      <c r="AL14" s="44">
        <v>0</v>
      </c>
      <c r="AM14" s="38">
        <v>0</v>
      </c>
      <c r="AN14" s="38">
        <v>0</v>
      </c>
      <c r="AO14" s="39">
        <f t="shared" ref="AO14:AO20" si="33">SUM(AL14:AN14)</f>
        <v>0</v>
      </c>
      <c r="AP14" s="40">
        <f t="shared" ref="AP14:AP20" si="34">AD14+P14+B14</f>
        <v>0</v>
      </c>
      <c r="AQ14" s="28">
        <v>0</v>
      </c>
      <c r="AR14" s="41">
        <v>0</v>
      </c>
      <c r="AS14" s="30">
        <f t="shared" si="19"/>
        <v>0</v>
      </c>
      <c r="AT14" s="30">
        <f t="shared" si="20"/>
        <v>0</v>
      </c>
      <c r="AU14" s="42">
        <f t="shared" ref="AU14:AU18" si="35">AP14+AS14+AT14</f>
        <v>0</v>
      </c>
      <c r="AV14" s="33">
        <f t="shared" si="21"/>
        <v>0</v>
      </c>
      <c r="AW14" s="46">
        <f t="shared" si="22"/>
        <v>0</v>
      </c>
      <c r="AX14" s="33">
        <f t="shared" si="23"/>
        <v>0</v>
      </c>
      <c r="AY14" s="46">
        <f t="shared" si="24"/>
        <v>0</v>
      </c>
      <c r="AZ14" s="48">
        <f t="shared" si="25"/>
        <v>0</v>
      </c>
      <c r="BA14" s="49">
        <f t="shared" si="26"/>
        <v>0</v>
      </c>
      <c r="BB14" s="49">
        <f t="shared" si="27"/>
        <v>0</v>
      </c>
      <c r="BC14" s="50">
        <f t="shared" ref="BC14:BC18" si="36">SUM(AZ14:BB14)</f>
        <v>0</v>
      </c>
      <c r="BD14" s="51"/>
    </row>
    <row r="15" spans="1:56" s="52" customFormat="1" ht="21.75" customHeight="1" x14ac:dyDescent="0.15">
      <c r="A15" s="26">
        <v>46061</v>
      </c>
      <c r="B15" s="27">
        <v>0</v>
      </c>
      <c r="C15" s="28">
        <v>0</v>
      </c>
      <c r="D15" s="29">
        <v>0</v>
      </c>
      <c r="E15" s="30">
        <v>0</v>
      </c>
      <c r="F15" s="31">
        <v>0</v>
      </c>
      <c r="G15" s="32">
        <f t="shared" si="28"/>
        <v>0</v>
      </c>
      <c r="H15" s="33">
        <v>0</v>
      </c>
      <c r="I15" s="34">
        <v>0</v>
      </c>
      <c r="J15" s="35">
        <v>0</v>
      </c>
      <c r="K15" s="36">
        <v>0</v>
      </c>
      <c r="L15" s="37">
        <v>0</v>
      </c>
      <c r="M15" s="38">
        <v>0</v>
      </c>
      <c r="N15" s="38">
        <v>0</v>
      </c>
      <c r="O15" s="39">
        <f t="shared" si="29"/>
        <v>0</v>
      </c>
      <c r="P15" s="40">
        <v>0</v>
      </c>
      <c r="Q15" s="28">
        <v>0</v>
      </c>
      <c r="R15" s="29">
        <v>0</v>
      </c>
      <c r="S15" s="30">
        <v>0</v>
      </c>
      <c r="T15" s="31">
        <v>0</v>
      </c>
      <c r="U15" s="32">
        <f t="shared" si="30"/>
        <v>0</v>
      </c>
      <c r="V15" s="33">
        <v>0</v>
      </c>
      <c r="W15" s="34">
        <v>0</v>
      </c>
      <c r="X15" s="35">
        <v>0</v>
      </c>
      <c r="Y15" s="36">
        <v>0</v>
      </c>
      <c r="Z15" s="37">
        <v>0</v>
      </c>
      <c r="AA15" s="38">
        <v>0</v>
      </c>
      <c r="AB15" s="38">
        <v>0</v>
      </c>
      <c r="AC15" s="39">
        <f t="shared" si="31"/>
        <v>0</v>
      </c>
      <c r="AD15" s="45">
        <v>0</v>
      </c>
      <c r="AE15" s="28">
        <v>0</v>
      </c>
      <c r="AF15" s="41">
        <v>0</v>
      </c>
      <c r="AG15" s="32">
        <f t="shared" si="32"/>
        <v>0</v>
      </c>
      <c r="AH15" s="35">
        <v>0</v>
      </c>
      <c r="AI15" s="43">
        <v>0</v>
      </c>
      <c r="AJ15" s="35">
        <v>0</v>
      </c>
      <c r="AK15" s="43">
        <v>0</v>
      </c>
      <c r="AL15" s="44">
        <v>0</v>
      </c>
      <c r="AM15" s="38">
        <v>0</v>
      </c>
      <c r="AN15" s="38">
        <v>0</v>
      </c>
      <c r="AO15" s="39">
        <f t="shared" si="33"/>
        <v>0</v>
      </c>
      <c r="AP15" s="40">
        <f t="shared" si="34"/>
        <v>0</v>
      </c>
      <c r="AQ15" s="28">
        <v>0</v>
      </c>
      <c r="AR15" s="41">
        <v>0</v>
      </c>
      <c r="AS15" s="30">
        <f t="shared" si="19"/>
        <v>0</v>
      </c>
      <c r="AT15" s="30">
        <f t="shared" si="20"/>
        <v>0</v>
      </c>
      <c r="AU15" s="42">
        <f t="shared" si="35"/>
        <v>0</v>
      </c>
      <c r="AV15" s="33">
        <f t="shared" si="21"/>
        <v>0</v>
      </c>
      <c r="AW15" s="46">
        <f t="shared" si="22"/>
        <v>0</v>
      </c>
      <c r="AX15" s="33">
        <f t="shared" si="23"/>
        <v>0</v>
      </c>
      <c r="AY15" s="46">
        <f t="shared" si="24"/>
        <v>0</v>
      </c>
      <c r="AZ15" s="48">
        <f t="shared" si="25"/>
        <v>0</v>
      </c>
      <c r="BA15" s="49">
        <f t="shared" si="26"/>
        <v>0</v>
      </c>
      <c r="BB15" s="49">
        <f t="shared" si="27"/>
        <v>0</v>
      </c>
      <c r="BC15" s="50">
        <f t="shared" si="36"/>
        <v>0</v>
      </c>
      <c r="BD15" s="51"/>
    </row>
    <row r="16" spans="1:56" s="52" customFormat="1" ht="21.75" customHeight="1" x14ac:dyDescent="0.15">
      <c r="A16" s="53">
        <v>46062</v>
      </c>
      <c r="B16" s="27">
        <v>86157</v>
      </c>
      <c r="C16" s="28">
        <v>145000</v>
      </c>
      <c r="D16" s="29">
        <f>B16/C16</f>
        <v>0.59418620689655177</v>
      </c>
      <c r="E16" s="30">
        <v>149162</v>
      </c>
      <c r="F16" s="31">
        <v>428506</v>
      </c>
      <c r="G16" s="32">
        <f t="shared" si="28"/>
        <v>663825</v>
      </c>
      <c r="H16" s="33">
        <v>0</v>
      </c>
      <c r="I16" s="34">
        <v>0</v>
      </c>
      <c r="J16" s="35">
        <v>17846</v>
      </c>
      <c r="K16" s="36">
        <v>0</v>
      </c>
      <c r="L16" s="37">
        <v>86157</v>
      </c>
      <c r="M16" s="38">
        <v>0</v>
      </c>
      <c r="N16" s="38">
        <v>0</v>
      </c>
      <c r="O16" s="39">
        <f t="shared" si="29"/>
        <v>86157</v>
      </c>
      <c r="P16" s="40">
        <v>121586</v>
      </c>
      <c r="Q16" s="28">
        <v>70000</v>
      </c>
      <c r="R16" s="29">
        <f>P16/Q16</f>
        <v>1.7369428571428571</v>
      </c>
      <c r="S16" s="30">
        <v>8932</v>
      </c>
      <c r="T16" s="31">
        <v>16850</v>
      </c>
      <c r="U16" s="32">
        <f t="shared" si="30"/>
        <v>147368</v>
      </c>
      <c r="V16" s="33">
        <v>0</v>
      </c>
      <c r="W16" s="34">
        <v>0</v>
      </c>
      <c r="X16" s="35">
        <v>0</v>
      </c>
      <c r="Y16" s="36">
        <v>0</v>
      </c>
      <c r="Z16" s="37">
        <v>33600</v>
      </c>
      <c r="AA16" s="38">
        <v>87986</v>
      </c>
      <c r="AB16" s="38">
        <v>0</v>
      </c>
      <c r="AC16" s="39">
        <f t="shared" si="31"/>
        <v>121586</v>
      </c>
      <c r="AD16" s="45">
        <v>168852</v>
      </c>
      <c r="AE16" s="28">
        <v>200000</v>
      </c>
      <c r="AF16" s="41">
        <f>AD16/AE16</f>
        <v>0.84426000000000001</v>
      </c>
      <c r="AG16" s="32">
        <f t="shared" si="32"/>
        <v>168852</v>
      </c>
      <c r="AH16" s="35">
        <v>0</v>
      </c>
      <c r="AI16" s="43">
        <v>0</v>
      </c>
      <c r="AJ16" s="35">
        <v>0</v>
      </c>
      <c r="AK16" s="43">
        <v>0</v>
      </c>
      <c r="AL16" s="44">
        <v>168852</v>
      </c>
      <c r="AM16" s="38">
        <v>0</v>
      </c>
      <c r="AN16" s="38">
        <v>0</v>
      </c>
      <c r="AO16" s="39">
        <f t="shared" si="33"/>
        <v>168852</v>
      </c>
      <c r="AP16" s="40">
        <f t="shared" si="34"/>
        <v>376595</v>
      </c>
      <c r="AQ16" s="28">
        <v>415000</v>
      </c>
      <c r="AR16" s="41">
        <f>AP16/AQ16</f>
        <v>0.90745783132530122</v>
      </c>
      <c r="AS16" s="30">
        <f t="shared" si="19"/>
        <v>158094</v>
      </c>
      <c r="AT16" s="30">
        <f t="shared" si="20"/>
        <v>445356</v>
      </c>
      <c r="AU16" s="42">
        <f t="shared" si="35"/>
        <v>980045</v>
      </c>
      <c r="AV16" s="33">
        <f t="shared" si="21"/>
        <v>0</v>
      </c>
      <c r="AW16" s="46">
        <f t="shared" si="22"/>
        <v>0</v>
      </c>
      <c r="AX16" s="33">
        <f t="shared" si="23"/>
        <v>17846</v>
      </c>
      <c r="AY16" s="47">
        <f t="shared" si="24"/>
        <v>0</v>
      </c>
      <c r="AZ16" s="48">
        <f t="shared" si="25"/>
        <v>288609</v>
      </c>
      <c r="BA16" s="49">
        <f t="shared" si="26"/>
        <v>87986</v>
      </c>
      <c r="BB16" s="49">
        <f t="shared" si="27"/>
        <v>0</v>
      </c>
      <c r="BC16" s="50">
        <f t="shared" si="36"/>
        <v>376595</v>
      </c>
      <c r="BD16" s="51"/>
    </row>
    <row r="17" spans="1:56" s="52" customFormat="1" ht="21.75" customHeight="1" x14ac:dyDescent="0.15">
      <c r="A17" s="53">
        <v>46063</v>
      </c>
      <c r="B17" s="27">
        <v>42278</v>
      </c>
      <c r="C17" s="28">
        <v>145000</v>
      </c>
      <c r="D17" s="29">
        <f>B17/C17</f>
        <v>0.29157241379310345</v>
      </c>
      <c r="E17" s="30">
        <v>302516</v>
      </c>
      <c r="F17" s="31">
        <v>100200</v>
      </c>
      <c r="G17" s="32">
        <f t="shared" si="28"/>
        <v>444994</v>
      </c>
      <c r="H17" s="33">
        <v>0</v>
      </c>
      <c r="I17" s="34">
        <v>0</v>
      </c>
      <c r="J17" s="35">
        <v>0</v>
      </c>
      <c r="K17" s="36">
        <v>0</v>
      </c>
      <c r="L17" s="37">
        <v>42278</v>
      </c>
      <c r="M17" s="38">
        <v>0</v>
      </c>
      <c r="N17" s="38">
        <v>0</v>
      </c>
      <c r="O17" s="39">
        <f t="shared" si="29"/>
        <v>42278</v>
      </c>
      <c r="P17" s="40">
        <v>57707</v>
      </c>
      <c r="Q17" s="28">
        <v>70000</v>
      </c>
      <c r="R17" s="29">
        <f>P17/Q17</f>
        <v>0.82438571428571428</v>
      </c>
      <c r="S17" s="30">
        <v>9257</v>
      </c>
      <c r="T17" s="31">
        <v>0</v>
      </c>
      <c r="U17" s="32">
        <f t="shared" si="30"/>
        <v>66964</v>
      </c>
      <c r="V17" s="33">
        <v>0</v>
      </c>
      <c r="W17" s="34">
        <v>0</v>
      </c>
      <c r="X17" s="35">
        <v>0</v>
      </c>
      <c r="Y17" s="36">
        <v>0</v>
      </c>
      <c r="Z17" s="37">
        <v>57707</v>
      </c>
      <c r="AA17" s="38">
        <v>0</v>
      </c>
      <c r="AB17" s="38">
        <v>0</v>
      </c>
      <c r="AC17" s="39">
        <f t="shared" si="31"/>
        <v>57707</v>
      </c>
      <c r="AD17" s="45">
        <v>448740</v>
      </c>
      <c r="AE17" s="28">
        <v>200000</v>
      </c>
      <c r="AF17" s="41">
        <f>AD17/AE17</f>
        <v>2.2437</v>
      </c>
      <c r="AG17" s="32">
        <f t="shared" si="32"/>
        <v>448740</v>
      </c>
      <c r="AH17" s="35">
        <v>0</v>
      </c>
      <c r="AI17" s="43">
        <v>0</v>
      </c>
      <c r="AJ17" s="35">
        <v>0</v>
      </c>
      <c r="AK17" s="43">
        <v>0</v>
      </c>
      <c r="AL17" s="44">
        <v>336205</v>
      </c>
      <c r="AM17" s="38">
        <v>8932</v>
      </c>
      <c r="AN17" s="38">
        <v>103603</v>
      </c>
      <c r="AO17" s="39">
        <f t="shared" si="33"/>
        <v>448740</v>
      </c>
      <c r="AP17" s="40">
        <f t="shared" si="34"/>
        <v>548725</v>
      </c>
      <c r="AQ17" s="28">
        <v>415000</v>
      </c>
      <c r="AR17" s="41">
        <f>AP17/AQ17</f>
        <v>1.3222289156626506</v>
      </c>
      <c r="AS17" s="30">
        <f t="shared" si="19"/>
        <v>311773</v>
      </c>
      <c r="AT17" s="30">
        <f t="shared" si="20"/>
        <v>100200</v>
      </c>
      <c r="AU17" s="42">
        <f t="shared" si="35"/>
        <v>960698</v>
      </c>
      <c r="AV17" s="33">
        <f t="shared" si="21"/>
        <v>0</v>
      </c>
      <c r="AW17" s="46">
        <f t="shared" si="22"/>
        <v>0</v>
      </c>
      <c r="AX17" s="33">
        <f t="shared" si="23"/>
        <v>0</v>
      </c>
      <c r="AY17" s="46">
        <f t="shared" si="24"/>
        <v>0</v>
      </c>
      <c r="AZ17" s="48">
        <f t="shared" si="25"/>
        <v>436190</v>
      </c>
      <c r="BA17" s="49">
        <f t="shared" si="26"/>
        <v>8932</v>
      </c>
      <c r="BB17" s="49">
        <f t="shared" si="27"/>
        <v>103603</v>
      </c>
      <c r="BC17" s="50">
        <f t="shared" si="36"/>
        <v>548725</v>
      </c>
      <c r="BD17" s="51"/>
    </row>
    <row r="18" spans="1:56" s="52" customFormat="1" ht="21.75" customHeight="1" x14ac:dyDescent="0.15">
      <c r="A18" s="53">
        <v>46064</v>
      </c>
      <c r="B18" s="27">
        <v>179440</v>
      </c>
      <c r="C18" s="28">
        <v>145000</v>
      </c>
      <c r="D18" s="29">
        <f>B18/C18</f>
        <v>1.2375172413793103</v>
      </c>
      <c r="E18" s="30">
        <v>0</v>
      </c>
      <c r="F18" s="31">
        <v>503915</v>
      </c>
      <c r="G18" s="32">
        <f t="shared" si="28"/>
        <v>683355</v>
      </c>
      <c r="H18" s="33">
        <v>0</v>
      </c>
      <c r="I18" s="34">
        <v>0</v>
      </c>
      <c r="J18" s="35">
        <v>0</v>
      </c>
      <c r="K18" s="36">
        <v>0</v>
      </c>
      <c r="L18" s="37">
        <v>179440</v>
      </c>
      <c r="M18" s="38">
        <v>0</v>
      </c>
      <c r="N18" s="38">
        <v>0</v>
      </c>
      <c r="O18" s="39">
        <f t="shared" si="29"/>
        <v>179440</v>
      </c>
      <c r="P18" s="40">
        <v>67058</v>
      </c>
      <c r="Q18" s="28">
        <v>70000</v>
      </c>
      <c r="R18" s="29">
        <f>P18/Q18</f>
        <v>0.95797142857142858</v>
      </c>
      <c r="S18" s="30">
        <v>0</v>
      </c>
      <c r="T18" s="31">
        <v>118500</v>
      </c>
      <c r="U18" s="32">
        <f t="shared" si="30"/>
        <v>185558</v>
      </c>
      <c r="V18" s="33">
        <v>0</v>
      </c>
      <c r="W18" s="34">
        <v>0</v>
      </c>
      <c r="X18" s="35">
        <v>0</v>
      </c>
      <c r="Y18" s="36">
        <v>0</v>
      </c>
      <c r="Z18" s="37">
        <v>67058</v>
      </c>
      <c r="AA18" s="38">
        <v>0</v>
      </c>
      <c r="AB18" s="38">
        <v>0</v>
      </c>
      <c r="AC18" s="39">
        <f t="shared" si="31"/>
        <v>67058</v>
      </c>
      <c r="AD18" s="45">
        <v>176410</v>
      </c>
      <c r="AE18" s="28">
        <v>200000</v>
      </c>
      <c r="AF18" s="41">
        <f>AD18/AE18</f>
        <v>0.88205</v>
      </c>
      <c r="AG18" s="32">
        <f t="shared" si="32"/>
        <v>176410</v>
      </c>
      <c r="AH18" s="35">
        <v>0</v>
      </c>
      <c r="AI18" s="43">
        <v>0</v>
      </c>
      <c r="AJ18" s="35">
        <v>0</v>
      </c>
      <c r="AK18" s="43">
        <v>0</v>
      </c>
      <c r="AL18" s="44">
        <v>124730</v>
      </c>
      <c r="AM18" s="38">
        <v>51680</v>
      </c>
      <c r="AN18" s="38">
        <v>0</v>
      </c>
      <c r="AO18" s="39">
        <f t="shared" si="33"/>
        <v>176410</v>
      </c>
      <c r="AP18" s="40">
        <f t="shared" si="34"/>
        <v>422908</v>
      </c>
      <c r="AQ18" s="28">
        <v>415000</v>
      </c>
      <c r="AR18" s="41">
        <f>AP18/AQ18</f>
        <v>1.0190554216867469</v>
      </c>
      <c r="AS18" s="30">
        <f t="shared" si="19"/>
        <v>0</v>
      </c>
      <c r="AT18" s="30">
        <f t="shared" si="20"/>
        <v>622415</v>
      </c>
      <c r="AU18" s="42">
        <f t="shared" si="35"/>
        <v>1045323</v>
      </c>
      <c r="AV18" s="33">
        <f t="shared" si="21"/>
        <v>0</v>
      </c>
      <c r="AW18" s="46">
        <f t="shared" si="22"/>
        <v>0</v>
      </c>
      <c r="AX18" s="33">
        <f t="shared" si="23"/>
        <v>0</v>
      </c>
      <c r="AY18" s="46">
        <f t="shared" si="24"/>
        <v>0</v>
      </c>
      <c r="AZ18" s="48">
        <f t="shared" si="25"/>
        <v>371228</v>
      </c>
      <c r="BA18" s="49">
        <f t="shared" si="26"/>
        <v>51680</v>
      </c>
      <c r="BB18" s="49">
        <f t="shared" si="27"/>
        <v>0</v>
      </c>
      <c r="BC18" s="50">
        <f t="shared" si="36"/>
        <v>422908</v>
      </c>
      <c r="BD18" s="51"/>
    </row>
    <row r="19" spans="1:56" s="52" customFormat="1" ht="21.75" customHeight="1" x14ac:dyDescent="0.15">
      <c r="A19" s="53">
        <v>46065</v>
      </c>
      <c r="B19" s="27">
        <f>39586</f>
        <v>39586</v>
      </c>
      <c r="C19" s="28">
        <v>145000</v>
      </c>
      <c r="D19" s="29">
        <f>B19/C19</f>
        <v>0.27300689655172417</v>
      </c>
      <c r="E19" s="30">
        <v>97604</v>
      </c>
      <c r="F19" s="31">
        <v>200815</v>
      </c>
      <c r="G19" s="32">
        <f t="shared" si="28"/>
        <v>338005</v>
      </c>
      <c r="H19" s="33">
        <v>0</v>
      </c>
      <c r="I19" s="34">
        <v>0</v>
      </c>
      <c r="J19" s="35">
        <v>0</v>
      </c>
      <c r="K19" s="36">
        <v>0</v>
      </c>
      <c r="L19" s="37">
        <v>0</v>
      </c>
      <c r="M19" s="38">
        <v>39586</v>
      </c>
      <c r="N19" s="38">
        <v>0</v>
      </c>
      <c r="O19" s="39">
        <f t="shared" si="29"/>
        <v>39586</v>
      </c>
      <c r="P19" s="40">
        <v>20130</v>
      </c>
      <c r="Q19" s="28">
        <v>70000</v>
      </c>
      <c r="R19" s="29">
        <f>P19/Q19</f>
        <v>0.28757142857142859</v>
      </c>
      <c r="S19" s="30">
        <v>0</v>
      </c>
      <c r="T19" s="31">
        <f>163550+158400</f>
        <v>321950</v>
      </c>
      <c r="U19" s="32">
        <f t="shared" si="30"/>
        <v>342080</v>
      </c>
      <c r="V19" s="33">
        <v>0</v>
      </c>
      <c r="W19" s="34">
        <v>0</v>
      </c>
      <c r="X19" s="35">
        <v>0</v>
      </c>
      <c r="Y19" s="36">
        <v>0</v>
      </c>
      <c r="Z19" s="37">
        <v>7070</v>
      </c>
      <c r="AA19" s="38">
        <v>13060</v>
      </c>
      <c r="AB19" s="38">
        <v>0</v>
      </c>
      <c r="AC19" s="39">
        <f t="shared" si="31"/>
        <v>20130</v>
      </c>
      <c r="AD19" s="45">
        <v>0</v>
      </c>
      <c r="AE19" s="28">
        <v>200000</v>
      </c>
      <c r="AF19" s="41">
        <f>AD19/AE19</f>
        <v>0</v>
      </c>
      <c r="AG19" s="32">
        <f t="shared" si="32"/>
        <v>0</v>
      </c>
      <c r="AH19" s="35">
        <v>0</v>
      </c>
      <c r="AI19" s="43">
        <v>0</v>
      </c>
      <c r="AJ19" s="35">
        <v>27597</v>
      </c>
      <c r="AK19" s="43">
        <v>0</v>
      </c>
      <c r="AL19" s="44">
        <v>0</v>
      </c>
      <c r="AM19" s="38">
        <v>0</v>
      </c>
      <c r="AN19" s="38">
        <v>0</v>
      </c>
      <c r="AO19" s="39">
        <f t="shared" si="33"/>
        <v>0</v>
      </c>
      <c r="AP19" s="40">
        <f t="shared" si="34"/>
        <v>59716</v>
      </c>
      <c r="AQ19" s="28">
        <v>415000</v>
      </c>
      <c r="AR19" s="41">
        <f>AP19/AQ19</f>
        <v>0.14389397590361447</v>
      </c>
      <c r="AS19" s="30">
        <f t="shared" ref="AS19" si="37">E19+S19</f>
        <v>97604</v>
      </c>
      <c r="AT19" s="30">
        <f t="shared" ref="AT19" si="38">F19+T19</f>
        <v>522765</v>
      </c>
      <c r="AU19" s="42">
        <f t="shared" ref="AU19" si="39">AP19+AS19+AT19</f>
        <v>680085</v>
      </c>
      <c r="AV19" s="33">
        <f t="shared" ref="AV19" si="40">SUM(H19,V19,AH19)</f>
        <v>0</v>
      </c>
      <c r="AW19" s="46">
        <f t="shared" ref="AW19" si="41">SUM(I19,W19,AI19)</f>
        <v>0</v>
      </c>
      <c r="AX19" s="33">
        <f t="shared" ref="AX19" si="42">SUM(J19,X19,AJ19)</f>
        <v>27597</v>
      </c>
      <c r="AY19" s="46">
        <f t="shared" ref="AY19" si="43">SUM(K19,Y19,AK19)</f>
        <v>0</v>
      </c>
      <c r="AZ19" s="48">
        <f t="shared" ref="AZ19" si="44">L19+Z19+AL19</f>
        <v>7070</v>
      </c>
      <c r="BA19" s="49">
        <f t="shared" ref="BA19" si="45">M19+AA19+AM19</f>
        <v>52646</v>
      </c>
      <c r="BB19" s="49">
        <f t="shared" ref="BB19" si="46">N19+AB19+AN19</f>
        <v>0</v>
      </c>
      <c r="BC19" s="50">
        <f t="shared" ref="BC19" si="47">SUM(AZ19:BB19)</f>
        <v>59716</v>
      </c>
      <c r="BD19" s="51"/>
    </row>
    <row r="20" spans="1:56" s="52" customFormat="1" ht="21.75" customHeight="1" x14ac:dyDescent="0.15">
      <c r="A20" s="53">
        <v>46066</v>
      </c>
      <c r="B20" s="27">
        <v>137398</v>
      </c>
      <c r="C20" s="28">
        <v>145000</v>
      </c>
      <c r="D20" s="29">
        <f>B20/C20</f>
        <v>0.94757241379310342</v>
      </c>
      <c r="E20" s="30">
        <v>124794</v>
      </c>
      <c r="F20" s="31">
        <v>114300</v>
      </c>
      <c r="G20" s="32">
        <f t="shared" si="28"/>
        <v>376492</v>
      </c>
      <c r="H20" s="33">
        <v>0</v>
      </c>
      <c r="I20" s="34">
        <v>0</v>
      </c>
      <c r="J20" s="35">
        <v>0</v>
      </c>
      <c r="K20" s="36">
        <v>9934</v>
      </c>
      <c r="L20" s="37">
        <v>0</v>
      </c>
      <c r="M20" s="38">
        <v>137398</v>
      </c>
      <c r="N20" s="38">
        <v>0</v>
      </c>
      <c r="O20" s="39">
        <f t="shared" si="29"/>
        <v>137398</v>
      </c>
      <c r="P20" s="40">
        <v>62023</v>
      </c>
      <c r="Q20" s="28">
        <v>70000</v>
      </c>
      <c r="R20" s="29">
        <f>P20/Q20</f>
        <v>0.88604285714285713</v>
      </c>
      <c r="S20" s="30">
        <v>56797</v>
      </c>
      <c r="T20" s="31">
        <v>0</v>
      </c>
      <c r="U20" s="32">
        <f t="shared" si="30"/>
        <v>118820</v>
      </c>
      <c r="V20" s="33">
        <v>0</v>
      </c>
      <c r="W20" s="34">
        <v>0</v>
      </c>
      <c r="X20" s="35">
        <v>0</v>
      </c>
      <c r="Y20" s="36">
        <v>3093</v>
      </c>
      <c r="Z20" s="37">
        <v>0</v>
      </c>
      <c r="AA20" s="38">
        <v>62023</v>
      </c>
      <c r="AB20" s="38">
        <v>0</v>
      </c>
      <c r="AC20" s="39">
        <f t="shared" si="31"/>
        <v>62023</v>
      </c>
      <c r="AD20" s="45">
        <v>148811</v>
      </c>
      <c r="AE20" s="28">
        <v>200000</v>
      </c>
      <c r="AF20" s="41">
        <f>AD20/AE20</f>
        <v>0.74405500000000002</v>
      </c>
      <c r="AG20" s="32">
        <f t="shared" si="32"/>
        <v>148811</v>
      </c>
      <c r="AH20" s="35">
        <v>0</v>
      </c>
      <c r="AI20" s="43">
        <v>0</v>
      </c>
      <c r="AJ20" s="35">
        <v>0</v>
      </c>
      <c r="AK20" s="43">
        <v>0</v>
      </c>
      <c r="AL20" s="44">
        <v>97604</v>
      </c>
      <c r="AM20" s="38">
        <v>51207</v>
      </c>
      <c r="AN20" s="38">
        <v>0</v>
      </c>
      <c r="AO20" s="39">
        <f t="shared" si="33"/>
        <v>148811</v>
      </c>
      <c r="AP20" s="40">
        <f t="shared" si="34"/>
        <v>348232</v>
      </c>
      <c r="AQ20" s="28">
        <v>415000</v>
      </c>
      <c r="AR20" s="41">
        <f>AP20/AQ20</f>
        <v>0.8391132530120482</v>
      </c>
      <c r="AS20" s="30">
        <f t="shared" ref="AS20" si="48">E20+S20</f>
        <v>181591</v>
      </c>
      <c r="AT20" s="30">
        <f t="shared" ref="AT20" si="49">F20+T20</f>
        <v>114300</v>
      </c>
      <c r="AU20" s="42">
        <f t="shared" ref="AU20" si="50">AP20+AS20+AT20</f>
        <v>644123</v>
      </c>
      <c r="AV20" s="33">
        <f t="shared" ref="AV20" si="51">SUM(H20,V20,AH20)</f>
        <v>0</v>
      </c>
      <c r="AW20" s="46">
        <f t="shared" ref="AW20" si="52">SUM(I20,W20,AI20)</f>
        <v>0</v>
      </c>
      <c r="AX20" s="33">
        <f t="shared" ref="AX20" si="53">SUM(J20,X20,AJ20)</f>
        <v>0</v>
      </c>
      <c r="AY20" s="46">
        <f t="shared" ref="AY20" si="54">SUM(K20,Y20,AK20)</f>
        <v>13027</v>
      </c>
      <c r="AZ20" s="48">
        <f t="shared" ref="AZ20" si="55">L20+Z20+AL20</f>
        <v>97604</v>
      </c>
      <c r="BA20" s="49">
        <f t="shared" ref="BA20" si="56">M20+AA20+AM20</f>
        <v>250628</v>
      </c>
      <c r="BB20" s="49">
        <f t="shared" ref="BB20" si="57">N20+AB20+AN20</f>
        <v>0</v>
      </c>
      <c r="BC20" s="50">
        <f t="shared" ref="BC20" si="58">SUM(AZ20:BB20)</f>
        <v>348232</v>
      </c>
      <c r="BD20" s="51"/>
    </row>
    <row r="21" spans="1:56" s="52" customFormat="1" ht="21.75" customHeight="1" x14ac:dyDescent="0.15">
      <c r="A21" s="26">
        <v>46067</v>
      </c>
      <c r="B21" s="27">
        <v>19842</v>
      </c>
      <c r="C21" s="28">
        <v>0</v>
      </c>
      <c r="D21" s="29">
        <v>0</v>
      </c>
      <c r="E21" s="30">
        <v>82754</v>
      </c>
      <c r="F21" s="31">
        <v>178983</v>
      </c>
      <c r="G21" s="32">
        <f t="shared" ref="G21:G27" si="59">B21+E21+F21</f>
        <v>281579</v>
      </c>
      <c r="H21" s="33">
        <v>0</v>
      </c>
      <c r="I21" s="34">
        <v>0</v>
      </c>
      <c r="J21" s="35">
        <v>0</v>
      </c>
      <c r="K21" s="36">
        <v>0</v>
      </c>
      <c r="L21" s="37">
        <v>0</v>
      </c>
      <c r="M21" s="38">
        <v>19842</v>
      </c>
      <c r="N21" s="38">
        <v>0</v>
      </c>
      <c r="O21" s="39">
        <f t="shared" ref="O21:O27" si="60">SUM(L21:N21)</f>
        <v>19842</v>
      </c>
      <c r="P21" s="40">
        <v>38290</v>
      </c>
      <c r="Q21" s="28">
        <v>0</v>
      </c>
      <c r="R21" s="29">
        <v>0</v>
      </c>
      <c r="S21" s="30">
        <v>0</v>
      </c>
      <c r="T21" s="31">
        <v>0</v>
      </c>
      <c r="U21" s="32">
        <f t="shared" ref="U21:U27" si="61">P21+S21+T21</f>
        <v>38290</v>
      </c>
      <c r="V21" s="33">
        <v>0</v>
      </c>
      <c r="W21" s="34">
        <v>0</v>
      </c>
      <c r="X21" s="35">
        <v>0</v>
      </c>
      <c r="Y21" s="36">
        <v>0</v>
      </c>
      <c r="Z21" s="37">
        <v>0</v>
      </c>
      <c r="AA21" s="38">
        <v>38290</v>
      </c>
      <c r="AB21" s="38">
        <v>0</v>
      </c>
      <c r="AC21" s="39">
        <f t="shared" ref="AC21:AC27" si="62">SUM(Z21:AB21)</f>
        <v>38290</v>
      </c>
      <c r="AD21" s="45">
        <v>97312</v>
      </c>
      <c r="AE21" s="28">
        <v>0</v>
      </c>
      <c r="AF21" s="41">
        <v>0</v>
      </c>
      <c r="AG21" s="32">
        <f t="shared" ref="AG21:AG27" si="63">AD21</f>
        <v>97312</v>
      </c>
      <c r="AH21" s="35">
        <v>0</v>
      </c>
      <c r="AI21" s="43">
        <v>0</v>
      </c>
      <c r="AJ21" s="35">
        <v>0</v>
      </c>
      <c r="AK21" s="43">
        <v>0</v>
      </c>
      <c r="AL21" s="44">
        <v>86478</v>
      </c>
      <c r="AM21" s="38">
        <v>10834</v>
      </c>
      <c r="AN21" s="38">
        <v>0</v>
      </c>
      <c r="AO21" s="39">
        <f t="shared" ref="AO21:AO27" si="64">SUM(AL21:AN21)</f>
        <v>97312</v>
      </c>
      <c r="AP21" s="40">
        <f t="shared" ref="AP21:AP27" si="65">AD21+P21+B21</f>
        <v>155444</v>
      </c>
      <c r="AQ21" s="28">
        <v>0</v>
      </c>
      <c r="AR21" s="41">
        <v>0</v>
      </c>
      <c r="AS21" s="30">
        <f t="shared" ref="AS21:AS27" si="66">E21+S21</f>
        <v>82754</v>
      </c>
      <c r="AT21" s="30">
        <f t="shared" ref="AT21:AT27" si="67">F21+T21</f>
        <v>178983</v>
      </c>
      <c r="AU21" s="42">
        <f t="shared" ref="AU21:AU27" si="68">AP21+AS21+AT21</f>
        <v>417181</v>
      </c>
      <c r="AV21" s="33">
        <f t="shared" ref="AV21:AV27" si="69">SUM(H21,V21,AH21)</f>
        <v>0</v>
      </c>
      <c r="AW21" s="46">
        <f t="shared" ref="AW21:AW27" si="70">SUM(I21,W21,AI21)</f>
        <v>0</v>
      </c>
      <c r="AX21" s="33">
        <f t="shared" ref="AX21:AX27" si="71">SUM(J21,X21,AJ21)</f>
        <v>0</v>
      </c>
      <c r="AY21" s="46">
        <f t="shared" ref="AY21:AY27" si="72">SUM(K21,Y21,AK21)</f>
        <v>0</v>
      </c>
      <c r="AZ21" s="48">
        <f t="shared" ref="AZ21:AZ27" si="73">L21+Z21+AL21</f>
        <v>86478</v>
      </c>
      <c r="BA21" s="49">
        <f t="shared" ref="BA21:BA27" si="74">M21+AA21+AM21</f>
        <v>68966</v>
      </c>
      <c r="BB21" s="49">
        <f t="shared" ref="BB21:BB27" si="75">N21+AB21+AN21</f>
        <v>0</v>
      </c>
      <c r="BC21" s="50">
        <f t="shared" ref="BC21:BC27" si="76">SUM(AZ21:BB21)</f>
        <v>155444</v>
      </c>
      <c r="BD21" s="51"/>
    </row>
    <row r="22" spans="1:56" s="52" customFormat="1" ht="21.75" customHeight="1" x14ac:dyDescent="0.15">
      <c r="A22" s="26">
        <v>46068</v>
      </c>
      <c r="B22" s="27">
        <v>0</v>
      </c>
      <c r="C22" s="28">
        <v>0</v>
      </c>
      <c r="D22" s="29">
        <v>0</v>
      </c>
      <c r="E22" s="30">
        <v>0</v>
      </c>
      <c r="F22" s="31">
        <v>0</v>
      </c>
      <c r="G22" s="32">
        <f t="shared" si="59"/>
        <v>0</v>
      </c>
      <c r="H22" s="33">
        <v>0</v>
      </c>
      <c r="I22" s="34">
        <v>0</v>
      </c>
      <c r="J22" s="35">
        <v>0</v>
      </c>
      <c r="K22" s="36">
        <v>0</v>
      </c>
      <c r="L22" s="37">
        <v>0</v>
      </c>
      <c r="M22" s="38">
        <v>0</v>
      </c>
      <c r="N22" s="38">
        <v>0</v>
      </c>
      <c r="O22" s="39">
        <f t="shared" si="60"/>
        <v>0</v>
      </c>
      <c r="P22" s="40">
        <v>0</v>
      </c>
      <c r="Q22" s="28">
        <v>0</v>
      </c>
      <c r="R22" s="29">
        <v>0</v>
      </c>
      <c r="S22" s="30">
        <v>0</v>
      </c>
      <c r="T22" s="31">
        <v>0</v>
      </c>
      <c r="U22" s="32">
        <f t="shared" si="61"/>
        <v>0</v>
      </c>
      <c r="V22" s="33">
        <v>0</v>
      </c>
      <c r="W22" s="34">
        <v>0</v>
      </c>
      <c r="X22" s="35">
        <v>0</v>
      </c>
      <c r="Y22" s="36">
        <v>0</v>
      </c>
      <c r="Z22" s="37">
        <v>0</v>
      </c>
      <c r="AA22" s="38">
        <v>0</v>
      </c>
      <c r="AB22" s="38">
        <v>0</v>
      </c>
      <c r="AC22" s="39">
        <f t="shared" si="62"/>
        <v>0</v>
      </c>
      <c r="AD22" s="45">
        <v>0</v>
      </c>
      <c r="AE22" s="28">
        <v>0</v>
      </c>
      <c r="AF22" s="41">
        <v>0</v>
      </c>
      <c r="AG22" s="32">
        <f t="shared" si="63"/>
        <v>0</v>
      </c>
      <c r="AH22" s="35">
        <v>0</v>
      </c>
      <c r="AI22" s="43">
        <v>0</v>
      </c>
      <c r="AJ22" s="35">
        <v>0</v>
      </c>
      <c r="AK22" s="43">
        <v>0</v>
      </c>
      <c r="AL22" s="44">
        <v>0</v>
      </c>
      <c r="AM22" s="38">
        <v>0</v>
      </c>
      <c r="AN22" s="38">
        <v>0</v>
      </c>
      <c r="AO22" s="39">
        <f t="shared" si="64"/>
        <v>0</v>
      </c>
      <c r="AP22" s="40">
        <f t="shared" si="65"/>
        <v>0</v>
      </c>
      <c r="AQ22" s="28">
        <v>0</v>
      </c>
      <c r="AR22" s="41">
        <v>0</v>
      </c>
      <c r="AS22" s="30">
        <f t="shared" si="66"/>
        <v>0</v>
      </c>
      <c r="AT22" s="30">
        <f t="shared" si="67"/>
        <v>0</v>
      </c>
      <c r="AU22" s="42">
        <f t="shared" si="68"/>
        <v>0</v>
      </c>
      <c r="AV22" s="33">
        <f t="shared" si="69"/>
        <v>0</v>
      </c>
      <c r="AW22" s="46">
        <f t="shared" si="70"/>
        <v>0</v>
      </c>
      <c r="AX22" s="33">
        <f t="shared" si="71"/>
        <v>0</v>
      </c>
      <c r="AY22" s="46">
        <f t="shared" si="72"/>
        <v>0</v>
      </c>
      <c r="AZ22" s="48">
        <f t="shared" si="73"/>
        <v>0</v>
      </c>
      <c r="BA22" s="49">
        <f t="shared" si="74"/>
        <v>0</v>
      </c>
      <c r="BB22" s="49">
        <f t="shared" si="75"/>
        <v>0</v>
      </c>
      <c r="BC22" s="50">
        <f t="shared" si="76"/>
        <v>0</v>
      </c>
      <c r="BD22" s="51"/>
    </row>
    <row r="23" spans="1:56" s="52" customFormat="1" ht="21.75" customHeight="1" x14ac:dyDescent="0.15">
      <c r="A23" s="26">
        <v>46069</v>
      </c>
      <c r="B23" s="27">
        <v>0</v>
      </c>
      <c r="C23" s="28">
        <v>0</v>
      </c>
      <c r="D23" s="29">
        <v>0</v>
      </c>
      <c r="E23" s="30">
        <v>0</v>
      </c>
      <c r="F23" s="31">
        <v>0</v>
      </c>
      <c r="G23" s="32">
        <f t="shared" si="59"/>
        <v>0</v>
      </c>
      <c r="H23" s="33">
        <v>0</v>
      </c>
      <c r="I23" s="34">
        <v>0</v>
      </c>
      <c r="J23" s="35">
        <v>0</v>
      </c>
      <c r="K23" s="36">
        <v>0</v>
      </c>
      <c r="L23" s="37">
        <v>0</v>
      </c>
      <c r="M23" s="38">
        <v>0</v>
      </c>
      <c r="N23" s="38">
        <v>0</v>
      </c>
      <c r="O23" s="39">
        <f t="shared" si="60"/>
        <v>0</v>
      </c>
      <c r="P23" s="40">
        <v>0</v>
      </c>
      <c r="Q23" s="28">
        <v>0</v>
      </c>
      <c r="R23" s="29">
        <v>0</v>
      </c>
      <c r="S23" s="30">
        <v>0</v>
      </c>
      <c r="T23" s="31">
        <v>0</v>
      </c>
      <c r="U23" s="32">
        <f t="shared" si="61"/>
        <v>0</v>
      </c>
      <c r="V23" s="33">
        <v>0</v>
      </c>
      <c r="W23" s="34">
        <v>0</v>
      </c>
      <c r="X23" s="35">
        <v>0</v>
      </c>
      <c r="Y23" s="36">
        <v>0</v>
      </c>
      <c r="Z23" s="37">
        <v>0</v>
      </c>
      <c r="AA23" s="38">
        <v>0</v>
      </c>
      <c r="AB23" s="38">
        <v>0</v>
      </c>
      <c r="AC23" s="39">
        <f t="shared" si="62"/>
        <v>0</v>
      </c>
      <c r="AD23" s="45">
        <v>0</v>
      </c>
      <c r="AE23" s="28">
        <v>0</v>
      </c>
      <c r="AF23" s="41">
        <v>0</v>
      </c>
      <c r="AG23" s="32">
        <f t="shared" si="63"/>
        <v>0</v>
      </c>
      <c r="AH23" s="35">
        <v>0</v>
      </c>
      <c r="AI23" s="43">
        <v>0</v>
      </c>
      <c r="AJ23" s="35">
        <v>0</v>
      </c>
      <c r="AK23" s="43">
        <v>0</v>
      </c>
      <c r="AL23" s="44">
        <v>0</v>
      </c>
      <c r="AM23" s="38">
        <v>0</v>
      </c>
      <c r="AN23" s="38">
        <v>0</v>
      </c>
      <c r="AO23" s="39">
        <f t="shared" si="64"/>
        <v>0</v>
      </c>
      <c r="AP23" s="40">
        <f t="shared" si="65"/>
        <v>0</v>
      </c>
      <c r="AQ23" s="28">
        <v>0</v>
      </c>
      <c r="AR23" s="41">
        <v>0</v>
      </c>
      <c r="AS23" s="30">
        <f t="shared" si="66"/>
        <v>0</v>
      </c>
      <c r="AT23" s="30">
        <f t="shared" si="67"/>
        <v>0</v>
      </c>
      <c r="AU23" s="42">
        <f t="shared" si="68"/>
        <v>0</v>
      </c>
      <c r="AV23" s="33">
        <f t="shared" si="69"/>
        <v>0</v>
      </c>
      <c r="AW23" s="46">
        <f t="shared" si="70"/>
        <v>0</v>
      </c>
      <c r="AX23" s="33">
        <f t="shared" si="71"/>
        <v>0</v>
      </c>
      <c r="AY23" s="46">
        <f t="shared" si="72"/>
        <v>0</v>
      </c>
      <c r="AZ23" s="48">
        <f t="shared" si="73"/>
        <v>0</v>
      </c>
      <c r="BA23" s="49">
        <f t="shared" si="74"/>
        <v>0</v>
      </c>
      <c r="BB23" s="49">
        <f t="shared" si="75"/>
        <v>0</v>
      </c>
      <c r="BC23" s="50">
        <f t="shared" si="76"/>
        <v>0</v>
      </c>
      <c r="BD23" s="51"/>
    </row>
    <row r="24" spans="1:56" s="52" customFormat="1" ht="21.75" customHeight="1" x14ac:dyDescent="0.15">
      <c r="A24" s="26">
        <v>46070</v>
      </c>
      <c r="B24" s="27">
        <v>0</v>
      </c>
      <c r="C24" s="28">
        <v>0</v>
      </c>
      <c r="D24" s="29">
        <v>0</v>
      </c>
      <c r="E24" s="30">
        <v>0</v>
      </c>
      <c r="F24" s="31">
        <v>0</v>
      </c>
      <c r="G24" s="32">
        <f t="shared" si="59"/>
        <v>0</v>
      </c>
      <c r="H24" s="33">
        <v>0</v>
      </c>
      <c r="I24" s="34">
        <v>0</v>
      </c>
      <c r="J24" s="35">
        <v>0</v>
      </c>
      <c r="K24" s="36">
        <v>0</v>
      </c>
      <c r="L24" s="37">
        <v>0</v>
      </c>
      <c r="M24" s="38">
        <v>0</v>
      </c>
      <c r="N24" s="38">
        <v>0</v>
      </c>
      <c r="O24" s="39">
        <f t="shared" si="60"/>
        <v>0</v>
      </c>
      <c r="P24" s="40">
        <v>0</v>
      </c>
      <c r="Q24" s="28">
        <v>0</v>
      </c>
      <c r="R24" s="29">
        <v>0</v>
      </c>
      <c r="S24" s="30">
        <v>0</v>
      </c>
      <c r="T24" s="31">
        <v>0</v>
      </c>
      <c r="U24" s="32">
        <f t="shared" si="61"/>
        <v>0</v>
      </c>
      <c r="V24" s="33">
        <v>0</v>
      </c>
      <c r="W24" s="34">
        <v>0</v>
      </c>
      <c r="X24" s="35">
        <v>0</v>
      </c>
      <c r="Y24" s="36">
        <v>0</v>
      </c>
      <c r="Z24" s="37">
        <v>0</v>
      </c>
      <c r="AA24" s="38">
        <v>0</v>
      </c>
      <c r="AB24" s="38">
        <v>0</v>
      </c>
      <c r="AC24" s="39">
        <f t="shared" si="62"/>
        <v>0</v>
      </c>
      <c r="AD24" s="45">
        <v>0</v>
      </c>
      <c r="AE24" s="28">
        <v>0</v>
      </c>
      <c r="AF24" s="41">
        <v>0</v>
      </c>
      <c r="AG24" s="32">
        <f t="shared" si="63"/>
        <v>0</v>
      </c>
      <c r="AH24" s="35">
        <v>0</v>
      </c>
      <c r="AI24" s="43">
        <v>0</v>
      </c>
      <c r="AJ24" s="35">
        <v>0</v>
      </c>
      <c r="AK24" s="43">
        <v>0</v>
      </c>
      <c r="AL24" s="44">
        <v>0</v>
      </c>
      <c r="AM24" s="38">
        <v>0</v>
      </c>
      <c r="AN24" s="38">
        <v>0</v>
      </c>
      <c r="AO24" s="39">
        <f t="shared" si="64"/>
        <v>0</v>
      </c>
      <c r="AP24" s="40">
        <f t="shared" si="65"/>
        <v>0</v>
      </c>
      <c r="AQ24" s="28">
        <v>0</v>
      </c>
      <c r="AR24" s="41">
        <v>0</v>
      </c>
      <c r="AS24" s="30">
        <f t="shared" si="66"/>
        <v>0</v>
      </c>
      <c r="AT24" s="30">
        <f t="shared" si="67"/>
        <v>0</v>
      </c>
      <c r="AU24" s="42">
        <f t="shared" si="68"/>
        <v>0</v>
      </c>
      <c r="AV24" s="33">
        <f t="shared" si="69"/>
        <v>0</v>
      </c>
      <c r="AW24" s="46">
        <f t="shared" si="70"/>
        <v>0</v>
      </c>
      <c r="AX24" s="33">
        <f t="shared" si="71"/>
        <v>0</v>
      </c>
      <c r="AY24" s="46">
        <f t="shared" si="72"/>
        <v>0</v>
      </c>
      <c r="AZ24" s="48">
        <f t="shared" si="73"/>
        <v>0</v>
      </c>
      <c r="BA24" s="49">
        <f t="shared" si="74"/>
        <v>0</v>
      </c>
      <c r="BB24" s="49">
        <f t="shared" si="75"/>
        <v>0</v>
      </c>
      <c r="BC24" s="50">
        <f t="shared" si="76"/>
        <v>0</v>
      </c>
      <c r="BD24" s="51"/>
    </row>
    <row r="25" spans="1:56" s="52" customFormat="1" ht="21.75" customHeight="1" x14ac:dyDescent="0.15">
      <c r="A25" s="26">
        <v>46071</v>
      </c>
      <c r="B25" s="27">
        <v>0</v>
      </c>
      <c r="C25" s="28">
        <v>0</v>
      </c>
      <c r="D25" s="29">
        <v>0</v>
      </c>
      <c r="E25" s="30">
        <v>0</v>
      </c>
      <c r="F25" s="31">
        <v>0</v>
      </c>
      <c r="G25" s="32">
        <f t="shared" si="59"/>
        <v>0</v>
      </c>
      <c r="H25" s="33">
        <v>0</v>
      </c>
      <c r="I25" s="34">
        <v>0</v>
      </c>
      <c r="J25" s="35">
        <v>0</v>
      </c>
      <c r="K25" s="36">
        <v>0</v>
      </c>
      <c r="L25" s="37">
        <v>0</v>
      </c>
      <c r="M25" s="38">
        <v>0</v>
      </c>
      <c r="N25" s="38">
        <v>0</v>
      </c>
      <c r="O25" s="39">
        <f t="shared" si="60"/>
        <v>0</v>
      </c>
      <c r="P25" s="40">
        <v>0</v>
      </c>
      <c r="Q25" s="28">
        <v>0</v>
      </c>
      <c r="R25" s="29">
        <v>0</v>
      </c>
      <c r="S25" s="30">
        <v>0</v>
      </c>
      <c r="T25" s="31">
        <v>0</v>
      </c>
      <c r="U25" s="32">
        <f t="shared" si="61"/>
        <v>0</v>
      </c>
      <c r="V25" s="33">
        <v>0</v>
      </c>
      <c r="W25" s="34">
        <v>0</v>
      </c>
      <c r="X25" s="35">
        <v>0</v>
      </c>
      <c r="Y25" s="36">
        <v>0</v>
      </c>
      <c r="Z25" s="37">
        <v>0</v>
      </c>
      <c r="AA25" s="38">
        <v>0</v>
      </c>
      <c r="AB25" s="38">
        <v>0</v>
      </c>
      <c r="AC25" s="39">
        <f t="shared" si="62"/>
        <v>0</v>
      </c>
      <c r="AD25" s="45">
        <v>0</v>
      </c>
      <c r="AE25" s="28">
        <v>0</v>
      </c>
      <c r="AF25" s="41">
        <v>0</v>
      </c>
      <c r="AG25" s="32">
        <f t="shared" si="63"/>
        <v>0</v>
      </c>
      <c r="AH25" s="35">
        <v>0</v>
      </c>
      <c r="AI25" s="43">
        <v>0</v>
      </c>
      <c r="AJ25" s="35">
        <v>0</v>
      </c>
      <c r="AK25" s="43">
        <v>0</v>
      </c>
      <c r="AL25" s="44">
        <v>0</v>
      </c>
      <c r="AM25" s="38">
        <v>0</v>
      </c>
      <c r="AN25" s="38">
        <v>0</v>
      </c>
      <c r="AO25" s="39">
        <f t="shared" si="64"/>
        <v>0</v>
      </c>
      <c r="AP25" s="40">
        <f t="shared" si="65"/>
        <v>0</v>
      </c>
      <c r="AQ25" s="28">
        <v>0</v>
      </c>
      <c r="AR25" s="41">
        <v>0</v>
      </c>
      <c r="AS25" s="30">
        <f t="shared" si="66"/>
        <v>0</v>
      </c>
      <c r="AT25" s="30">
        <f t="shared" si="67"/>
        <v>0</v>
      </c>
      <c r="AU25" s="42">
        <f t="shared" si="68"/>
        <v>0</v>
      </c>
      <c r="AV25" s="33">
        <f t="shared" si="69"/>
        <v>0</v>
      </c>
      <c r="AW25" s="46">
        <f t="shared" si="70"/>
        <v>0</v>
      </c>
      <c r="AX25" s="33">
        <f t="shared" si="71"/>
        <v>0</v>
      </c>
      <c r="AY25" s="46">
        <f t="shared" si="72"/>
        <v>0</v>
      </c>
      <c r="AZ25" s="48">
        <f t="shared" si="73"/>
        <v>0</v>
      </c>
      <c r="BA25" s="49">
        <f t="shared" si="74"/>
        <v>0</v>
      </c>
      <c r="BB25" s="49">
        <f t="shared" si="75"/>
        <v>0</v>
      </c>
      <c r="BC25" s="50">
        <f t="shared" si="76"/>
        <v>0</v>
      </c>
      <c r="BD25" s="51"/>
    </row>
    <row r="26" spans="1:56" s="52" customFormat="1" ht="21.75" customHeight="1" x14ac:dyDescent="0.15">
      <c r="A26" s="53">
        <v>46072</v>
      </c>
      <c r="B26" s="27">
        <v>79747</v>
      </c>
      <c r="C26" s="28">
        <v>145000</v>
      </c>
      <c r="D26" s="29">
        <f>B26/C26</f>
        <v>0.54997931034482761</v>
      </c>
      <c r="E26" s="30">
        <v>180446</v>
      </c>
      <c r="F26" s="31">
        <v>241000</v>
      </c>
      <c r="G26" s="32">
        <f t="shared" si="59"/>
        <v>501193</v>
      </c>
      <c r="H26" s="33">
        <v>0</v>
      </c>
      <c r="I26" s="34">
        <v>0</v>
      </c>
      <c r="J26" s="35">
        <v>0</v>
      </c>
      <c r="K26" s="36">
        <v>0</v>
      </c>
      <c r="L26" s="37">
        <v>51022</v>
      </c>
      <c r="M26" s="38">
        <v>28725</v>
      </c>
      <c r="N26" s="38">
        <v>0</v>
      </c>
      <c r="O26" s="39">
        <f t="shared" si="60"/>
        <v>79747</v>
      </c>
      <c r="P26" s="40">
        <v>125811</v>
      </c>
      <c r="Q26" s="28">
        <v>70000</v>
      </c>
      <c r="R26" s="29">
        <f>P26/Q26</f>
        <v>1.7972999999999999</v>
      </c>
      <c r="S26" s="30">
        <v>16536</v>
      </c>
      <c r="T26" s="31">
        <v>0</v>
      </c>
      <c r="U26" s="32">
        <f t="shared" si="61"/>
        <v>142347</v>
      </c>
      <c r="V26" s="33">
        <v>0</v>
      </c>
      <c r="W26" s="34">
        <v>0</v>
      </c>
      <c r="X26" s="35">
        <v>14803</v>
      </c>
      <c r="Y26" s="36">
        <v>0</v>
      </c>
      <c r="Z26" s="37">
        <v>33748</v>
      </c>
      <c r="AA26" s="38">
        <v>92063</v>
      </c>
      <c r="AB26" s="38">
        <v>0</v>
      </c>
      <c r="AC26" s="39">
        <f t="shared" si="62"/>
        <v>125811</v>
      </c>
      <c r="AD26" s="45">
        <v>176722</v>
      </c>
      <c r="AE26" s="28">
        <v>200000</v>
      </c>
      <c r="AF26" s="41">
        <f>AD26/AE26</f>
        <v>0.88361000000000001</v>
      </c>
      <c r="AG26" s="32">
        <f t="shared" si="63"/>
        <v>176722</v>
      </c>
      <c r="AH26" s="35">
        <v>0</v>
      </c>
      <c r="AI26" s="43">
        <v>0</v>
      </c>
      <c r="AJ26" s="35">
        <v>0</v>
      </c>
      <c r="AK26" s="43">
        <v>0</v>
      </c>
      <c r="AL26" s="44">
        <v>176722</v>
      </c>
      <c r="AM26" s="38">
        <v>0</v>
      </c>
      <c r="AN26" s="38">
        <v>0</v>
      </c>
      <c r="AO26" s="39">
        <f t="shared" si="64"/>
        <v>176722</v>
      </c>
      <c r="AP26" s="40">
        <f t="shared" si="65"/>
        <v>382280</v>
      </c>
      <c r="AQ26" s="28">
        <v>415000</v>
      </c>
      <c r="AR26" s="41">
        <f>AP26/AQ26</f>
        <v>0.92115662650602415</v>
      </c>
      <c r="AS26" s="30">
        <f t="shared" si="66"/>
        <v>196982</v>
      </c>
      <c r="AT26" s="30">
        <f t="shared" si="67"/>
        <v>241000</v>
      </c>
      <c r="AU26" s="42">
        <f t="shared" si="68"/>
        <v>820262</v>
      </c>
      <c r="AV26" s="33">
        <f t="shared" si="69"/>
        <v>0</v>
      </c>
      <c r="AW26" s="46">
        <f t="shared" si="70"/>
        <v>0</v>
      </c>
      <c r="AX26" s="33">
        <f t="shared" si="71"/>
        <v>14803</v>
      </c>
      <c r="AY26" s="47">
        <f t="shared" si="72"/>
        <v>0</v>
      </c>
      <c r="AZ26" s="48">
        <f t="shared" si="73"/>
        <v>261492</v>
      </c>
      <c r="BA26" s="49">
        <f t="shared" si="74"/>
        <v>120788</v>
      </c>
      <c r="BB26" s="49">
        <f t="shared" si="75"/>
        <v>0</v>
      </c>
      <c r="BC26" s="50">
        <f t="shared" si="76"/>
        <v>382280</v>
      </c>
      <c r="BD26" s="51"/>
    </row>
    <row r="27" spans="1:56" s="52" customFormat="1" ht="21.75" customHeight="1" x14ac:dyDescent="0.15">
      <c r="A27" s="53">
        <v>46073</v>
      </c>
      <c r="B27" s="27">
        <v>55228</v>
      </c>
      <c r="C27" s="28">
        <v>145000</v>
      </c>
      <c r="D27" s="29">
        <f>B27/C27</f>
        <v>0.38088275862068965</v>
      </c>
      <c r="E27" s="30">
        <v>347836</v>
      </c>
      <c r="F27" s="31">
        <v>76200</v>
      </c>
      <c r="G27" s="32">
        <f t="shared" si="59"/>
        <v>479264</v>
      </c>
      <c r="H27" s="33">
        <v>0</v>
      </c>
      <c r="I27" s="34">
        <v>0</v>
      </c>
      <c r="J27" s="35">
        <v>0</v>
      </c>
      <c r="K27" s="36">
        <v>0</v>
      </c>
      <c r="L27" s="37">
        <v>55228</v>
      </c>
      <c r="M27" s="38">
        <v>0</v>
      </c>
      <c r="N27" s="38">
        <v>0</v>
      </c>
      <c r="O27" s="39">
        <f t="shared" si="60"/>
        <v>55228</v>
      </c>
      <c r="P27" s="40">
        <v>35766</v>
      </c>
      <c r="Q27" s="28">
        <v>70000</v>
      </c>
      <c r="R27" s="29">
        <f>P27/Q27</f>
        <v>0.51094285714285714</v>
      </c>
      <c r="S27" s="30">
        <v>0</v>
      </c>
      <c r="T27" s="31">
        <v>0</v>
      </c>
      <c r="U27" s="32">
        <f t="shared" si="61"/>
        <v>35766</v>
      </c>
      <c r="V27" s="33">
        <v>0</v>
      </c>
      <c r="W27" s="34">
        <v>0</v>
      </c>
      <c r="X27" s="35">
        <v>0</v>
      </c>
      <c r="Y27" s="36">
        <v>0</v>
      </c>
      <c r="Z27" s="37">
        <v>0</v>
      </c>
      <c r="AA27" s="38">
        <v>35766</v>
      </c>
      <c r="AB27" s="38">
        <v>0</v>
      </c>
      <c r="AC27" s="39">
        <f t="shared" si="62"/>
        <v>35766</v>
      </c>
      <c r="AD27" s="45">
        <v>175371</v>
      </c>
      <c r="AE27" s="28">
        <v>200000</v>
      </c>
      <c r="AF27" s="41">
        <f>AD27/AE27</f>
        <v>0.87685500000000005</v>
      </c>
      <c r="AG27" s="32">
        <f t="shared" si="63"/>
        <v>175371</v>
      </c>
      <c r="AH27" s="35">
        <v>0</v>
      </c>
      <c r="AI27" s="43">
        <v>0</v>
      </c>
      <c r="AJ27" s="35">
        <v>5797</v>
      </c>
      <c r="AK27" s="43">
        <v>0</v>
      </c>
      <c r="AL27" s="44">
        <v>175371</v>
      </c>
      <c r="AM27" s="38">
        <v>0</v>
      </c>
      <c r="AN27" s="38">
        <v>0</v>
      </c>
      <c r="AO27" s="39">
        <f t="shared" si="64"/>
        <v>175371</v>
      </c>
      <c r="AP27" s="40">
        <f t="shared" si="65"/>
        <v>266365</v>
      </c>
      <c r="AQ27" s="28">
        <v>415000</v>
      </c>
      <c r="AR27" s="41">
        <f>AP27/AQ27</f>
        <v>0.64184337349397591</v>
      </c>
      <c r="AS27" s="30">
        <f t="shared" si="66"/>
        <v>347836</v>
      </c>
      <c r="AT27" s="30">
        <f t="shared" si="67"/>
        <v>76200</v>
      </c>
      <c r="AU27" s="42">
        <f t="shared" si="68"/>
        <v>690401</v>
      </c>
      <c r="AV27" s="33">
        <f t="shared" si="69"/>
        <v>0</v>
      </c>
      <c r="AW27" s="46">
        <f t="shared" si="70"/>
        <v>0</v>
      </c>
      <c r="AX27" s="33">
        <f t="shared" si="71"/>
        <v>5797</v>
      </c>
      <c r="AY27" s="47">
        <f t="shared" si="72"/>
        <v>0</v>
      </c>
      <c r="AZ27" s="48">
        <f t="shared" si="73"/>
        <v>230599</v>
      </c>
      <c r="BA27" s="49">
        <f t="shared" si="74"/>
        <v>35766</v>
      </c>
      <c r="BB27" s="49">
        <f t="shared" si="75"/>
        <v>0</v>
      </c>
      <c r="BC27" s="50">
        <f t="shared" si="76"/>
        <v>266365</v>
      </c>
      <c r="BD27" s="51"/>
    </row>
    <row r="28" spans="1:56" s="52" customFormat="1" ht="21.75" customHeight="1" x14ac:dyDescent="0.15">
      <c r="A28" s="26">
        <v>46074</v>
      </c>
      <c r="B28" s="27">
        <v>0</v>
      </c>
      <c r="C28" s="28">
        <v>0</v>
      </c>
      <c r="D28" s="29">
        <v>0</v>
      </c>
      <c r="E28" s="30">
        <v>0</v>
      </c>
      <c r="F28" s="31">
        <v>0</v>
      </c>
      <c r="G28" s="32">
        <f t="shared" ref="G28:G34" si="77">B28+E28+F28</f>
        <v>0</v>
      </c>
      <c r="H28" s="33">
        <v>0</v>
      </c>
      <c r="I28" s="34">
        <v>0</v>
      </c>
      <c r="J28" s="35">
        <v>0</v>
      </c>
      <c r="K28" s="36">
        <v>0</v>
      </c>
      <c r="L28" s="37">
        <v>0</v>
      </c>
      <c r="M28" s="38">
        <v>0</v>
      </c>
      <c r="N28" s="38">
        <v>0</v>
      </c>
      <c r="O28" s="39">
        <f t="shared" ref="O28:O34" si="78">SUM(L28:N28)</f>
        <v>0</v>
      </c>
      <c r="P28" s="40">
        <v>0</v>
      </c>
      <c r="Q28" s="28">
        <v>0</v>
      </c>
      <c r="R28" s="29">
        <v>0</v>
      </c>
      <c r="S28" s="30">
        <v>0</v>
      </c>
      <c r="T28" s="31">
        <v>0</v>
      </c>
      <c r="U28" s="32">
        <f t="shared" ref="U28:U34" si="79">P28+S28+T28</f>
        <v>0</v>
      </c>
      <c r="V28" s="33">
        <v>0</v>
      </c>
      <c r="W28" s="34">
        <v>0</v>
      </c>
      <c r="X28" s="35">
        <v>0</v>
      </c>
      <c r="Y28" s="36">
        <v>0</v>
      </c>
      <c r="Z28" s="37">
        <v>0</v>
      </c>
      <c r="AA28" s="38">
        <v>0</v>
      </c>
      <c r="AB28" s="38">
        <v>0</v>
      </c>
      <c r="AC28" s="39">
        <f t="shared" ref="AC28:AC34" si="80">SUM(Z28:AB28)</f>
        <v>0</v>
      </c>
      <c r="AD28" s="45">
        <v>0</v>
      </c>
      <c r="AE28" s="28">
        <v>0</v>
      </c>
      <c r="AF28" s="41">
        <v>0</v>
      </c>
      <c r="AG28" s="32">
        <f t="shared" ref="AG28:AG34" si="81">AD28</f>
        <v>0</v>
      </c>
      <c r="AH28" s="35">
        <v>0</v>
      </c>
      <c r="AI28" s="43">
        <v>0</v>
      </c>
      <c r="AJ28" s="35">
        <v>0</v>
      </c>
      <c r="AK28" s="43">
        <v>0</v>
      </c>
      <c r="AL28" s="44">
        <v>0</v>
      </c>
      <c r="AM28" s="38">
        <v>0</v>
      </c>
      <c r="AN28" s="38">
        <v>0</v>
      </c>
      <c r="AO28" s="39">
        <f t="shared" ref="AO28:AO34" si="82">SUM(AL28:AN28)</f>
        <v>0</v>
      </c>
      <c r="AP28" s="40">
        <f t="shared" ref="AP28:AP34" si="83">AD28+P28+B28</f>
        <v>0</v>
      </c>
      <c r="AQ28" s="28">
        <v>0</v>
      </c>
      <c r="AR28" s="41">
        <v>0</v>
      </c>
      <c r="AS28" s="30">
        <f t="shared" ref="AS28:AS34" si="84">E28+S28</f>
        <v>0</v>
      </c>
      <c r="AT28" s="30">
        <f t="shared" ref="AT28:AT34" si="85">F28+T28</f>
        <v>0</v>
      </c>
      <c r="AU28" s="42">
        <f t="shared" ref="AU28:AU34" si="86">AP28+AS28+AT28</f>
        <v>0</v>
      </c>
      <c r="AV28" s="33">
        <f t="shared" ref="AV28:AV34" si="87">SUM(H28,V28,AH28)</f>
        <v>0</v>
      </c>
      <c r="AW28" s="46">
        <f t="shared" ref="AW28:AW34" si="88">SUM(I28,W28,AI28)</f>
        <v>0</v>
      </c>
      <c r="AX28" s="33">
        <f t="shared" ref="AX28:AX34" si="89">SUM(J28,X28,AJ28)</f>
        <v>0</v>
      </c>
      <c r="AY28" s="46">
        <f t="shared" ref="AY28:AY34" si="90">SUM(K28,Y28,AK28)</f>
        <v>0</v>
      </c>
      <c r="AZ28" s="48">
        <f t="shared" ref="AZ28:AZ34" si="91">L28+Z28+AL28</f>
        <v>0</v>
      </c>
      <c r="BA28" s="49">
        <f t="shared" ref="BA28:BA34" si="92">M28+AA28+AM28</f>
        <v>0</v>
      </c>
      <c r="BB28" s="49">
        <f t="shared" ref="BB28:BB34" si="93">N28+AB28+AN28</f>
        <v>0</v>
      </c>
      <c r="BC28" s="50">
        <f t="shared" ref="BC28:BC34" si="94">SUM(AZ28:BB28)</f>
        <v>0</v>
      </c>
      <c r="BD28" s="51"/>
    </row>
    <row r="29" spans="1:56" s="52" customFormat="1" ht="21.75" customHeight="1" x14ac:dyDescent="0.15">
      <c r="A29" s="26">
        <v>46075</v>
      </c>
      <c r="B29" s="27">
        <v>0</v>
      </c>
      <c r="C29" s="28">
        <v>0</v>
      </c>
      <c r="D29" s="29">
        <v>0</v>
      </c>
      <c r="E29" s="30">
        <v>0</v>
      </c>
      <c r="F29" s="31">
        <v>0</v>
      </c>
      <c r="G29" s="32">
        <f t="shared" si="77"/>
        <v>0</v>
      </c>
      <c r="H29" s="33">
        <v>0</v>
      </c>
      <c r="I29" s="34">
        <v>0</v>
      </c>
      <c r="J29" s="35">
        <v>0</v>
      </c>
      <c r="K29" s="36">
        <v>0</v>
      </c>
      <c r="L29" s="37">
        <v>0</v>
      </c>
      <c r="M29" s="38">
        <v>0</v>
      </c>
      <c r="N29" s="38">
        <v>0</v>
      </c>
      <c r="O29" s="39">
        <f t="shared" si="78"/>
        <v>0</v>
      </c>
      <c r="P29" s="40">
        <v>0</v>
      </c>
      <c r="Q29" s="28">
        <v>0</v>
      </c>
      <c r="R29" s="29">
        <v>0</v>
      </c>
      <c r="S29" s="30">
        <v>0</v>
      </c>
      <c r="T29" s="31">
        <v>0</v>
      </c>
      <c r="U29" s="32">
        <f t="shared" si="79"/>
        <v>0</v>
      </c>
      <c r="V29" s="33">
        <v>0</v>
      </c>
      <c r="W29" s="34">
        <v>0</v>
      </c>
      <c r="X29" s="35">
        <v>0</v>
      </c>
      <c r="Y29" s="36">
        <v>0</v>
      </c>
      <c r="Z29" s="37">
        <v>0</v>
      </c>
      <c r="AA29" s="38">
        <v>0</v>
      </c>
      <c r="AB29" s="38">
        <v>0</v>
      </c>
      <c r="AC29" s="39">
        <f t="shared" si="80"/>
        <v>0</v>
      </c>
      <c r="AD29" s="45">
        <v>0</v>
      </c>
      <c r="AE29" s="28">
        <v>0</v>
      </c>
      <c r="AF29" s="41">
        <v>0</v>
      </c>
      <c r="AG29" s="32">
        <f t="shared" si="81"/>
        <v>0</v>
      </c>
      <c r="AH29" s="35">
        <v>0</v>
      </c>
      <c r="AI29" s="43">
        <v>0</v>
      </c>
      <c r="AJ29" s="35">
        <v>0</v>
      </c>
      <c r="AK29" s="43">
        <v>0</v>
      </c>
      <c r="AL29" s="44">
        <v>0</v>
      </c>
      <c r="AM29" s="38">
        <v>0</v>
      </c>
      <c r="AN29" s="38">
        <v>0</v>
      </c>
      <c r="AO29" s="39">
        <f t="shared" si="82"/>
        <v>0</v>
      </c>
      <c r="AP29" s="40">
        <f t="shared" si="83"/>
        <v>0</v>
      </c>
      <c r="AQ29" s="28">
        <v>0</v>
      </c>
      <c r="AR29" s="41">
        <v>0</v>
      </c>
      <c r="AS29" s="30">
        <f t="shared" si="84"/>
        <v>0</v>
      </c>
      <c r="AT29" s="30">
        <f t="shared" si="85"/>
        <v>0</v>
      </c>
      <c r="AU29" s="42">
        <f t="shared" si="86"/>
        <v>0</v>
      </c>
      <c r="AV29" s="33">
        <f t="shared" si="87"/>
        <v>0</v>
      </c>
      <c r="AW29" s="46">
        <f t="shared" si="88"/>
        <v>0</v>
      </c>
      <c r="AX29" s="33">
        <f t="shared" si="89"/>
        <v>0</v>
      </c>
      <c r="AY29" s="46">
        <f t="shared" si="90"/>
        <v>0</v>
      </c>
      <c r="AZ29" s="48">
        <f t="shared" si="91"/>
        <v>0</v>
      </c>
      <c r="BA29" s="49">
        <f t="shared" si="92"/>
        <v>0</v>
      </c>
      <c r="BB29" s="49">
        <f t="shared" si="93"/>
        <v>0</v>
      </c>
      <c r="BC29" s="50">
        <f t="shared" si="94"/>
        <v>0</v>
      </c>
      <c r="BD29" s="51"/>
    </row>
    <row r="30" spans="1:56" s="52" customFormat="1" ht="21.75" customHeight="1" x14ac:dyDescent="0.15">
      <c r="A30" s="53">
        <v>46076</v>
      </c>
      <c r="B30" s="27">
        <v>66102</v>
      </c>
      <c r="C30" s="28">
        <v>145000</v>
      </c>
      <c r="D30" s="29">
        <f>B30/C30</f>
        <v>0.45587586206896552</v>
      </c>
      <c r="E30" s="30">
        <v>125026</v>
      </c>
      <c r="F30" s="31">
        <v>451200</v>
      </c>
      <c r="G30" s="32">
        <f t="shared" si="77"/>
        <v>642328</v>
      </c>
      <c r="H30" s="33">
        <v>0</v>
      </c>
      <c r="I30" s="34">
        <v>0</v>
      </c>
      <c r="J30" s="35">
        <v>0</v>
      </c>
      <c r="K30" s="36">
        <v>0</v>
      </c>
      <c r="L30" s="37">
        <v>66102</v>
      </c>
      <c r="M30" s="38">
        <v>0</v>
      </c>
      <c r="N30" s="38">
        <v>0</v>
      </c>
      <c r="O30" s="39">
        <f t="shared" si="78"/>
        <v>66102</v>
      </c>
      <c r="P30" s="40">
        <v>179016</v>
      </c>
      <c r="Q30" s="28">
        <v>70000</v>
      </c>
      <c r="R30" s="29">
        <f>P30/Q30</f>
        <v>2.5573714285714284</v>
      </c>
      <c r="S30" s="30">
        <v>0</v>
      </c>
      <c r="T30" s="31">
        <v>0</v>
      </c>
      <c r="U30" s="32">
        <f t="shared" si="79"/>
        <v>179016</v>
      </c>
      <c r="V30" s="33">
        <v>0</v>
      </c>
      <c r="W30" s="34">
        <v>0</v>
      </c>
      <c r="X30" s="35">
        <v>0</v>
      </c>
      <c r="Y30" s="36">
        <v>0</v>
      </c>
      <c r="Z30" s="37">
        <v>60156</v>
      </c>
      <c r="AA30" s="38">
        <v>118860</v>
      </c>
      <c r="AB30" s="38">
        <v>0</v>
      </c>
      <c r="AC30" s="39">
        <f t="shared" si="80"/>
        <v>179016</v>
      </c>
      <c r="AD30" s="45">
        <v>323341</v>
      </c>
      <c r="AE30" s="28">
        <v>200000</v>
      </c>
      <c r="AF30" s="41">
        <f>AD30/AE30</f>
        <v>1.6167050000000001</v>
      </c>
      <c r="AG30" s="32">
        <f t="shared" si="81"/>
        <v>323341</v>
      </c>
      <c r="AH30" s="35">
        <v>0</v>
      </c>
      <c r="AI30" s="43">
        <v>0</v>
      </c>
      <c r="AJ30" s="35">
        <v>0</v>
      </c>
      <c r="AK30" s="43">
        <v>0</v>
      </c>
      <c r="AL30" s="44">
        <v>293027</v>
      </c>
      <c r="AM30" s="38">
        <v>0</v>
      </c>
      <c r="AN30" s="38">
        <v>30314</v>
      </c>
      <c r="AO30" s="39">
        <f t="shared" si="82"/>
        <v>323341</v>
      </c>
      <c r="AP30" s="40">
        <f t="shared" si="83"/>
        <v>568459</v>
      </c>
      <c r="AQ30" s="28">
        <v>415000</v>
      </c>
      <c r="AR30" s="41">
        <f>AP30/AQ30</f>
        <v>1.3697807228915662</v>
      </c>
      <c r="AS30" s="30">
        <f t="shared" si="84"/>
        <v>125026</v>
      </c>
      <c r="AT30" s="30">
        <f t="shared" si="85"/>
        <v>451200</v>
      </c>
      <c r="AU30" s="42">
        <f t="shared" si="86"/>
        <v>1144685</v>
      </c>
      <c r="AV30" s="33">
        <f t="shared" si="87"/>
        <v>0</v>
      </c>
      <c r="AW30" s="46">
        <f t="shared" si="88"/>
        <v>0</v>
      </c>
      <c r="AX30" s="33">
        <f t="shared" si="89"/>
        <v>0</v>
      </c>
      <c r="AY30" s="47">
        <f t="shared" si="90"/>
        <v>0</v>
      </c>
      <c r="AZ30" s="48">
        <f t="shared" si="91"/>
        <v>419285</v>
      </c>
      <c r="BA30" s="49">
        <f t="shared" si="92"/>
        <v>118860</v>
      </c>
      <c r="BB30" s="49">
        <f t="shared" si="93"/>
        <v>30314</v>
      </c>
      <c r="BC30" s="50">
        <f t="shared" si="94"/>
        <v>568459</v>
      </c>
      <c r="BD30" s="51"/>
    </row>
    <row r="31" spans="1:56" s="52" customFormat="1" ht="21.75" customHeight="1" x14ac:dyDescent="0.15">
      <c r="A31" s="53">
        <v>46077</v>
      </c>
      <c r="B31" s="27">
        <v>54150</v>
      </c>
      <c r="C31" s="28">
        <v>145000</v>
      </c>
      <c r="D31" s="29">
        <f>B31/C31</f>
        <v>0.37344827586206897</v>
      </c>
      <c r="E31" s="30">
        <v>369358</v>
      </c>
      <c r="F31" s="31">
        <v>0</v>
      </c>
      <c r="G31" s="32">
        <f t="shared" si="77"/>
        <v>423508</v>
      </c>
      <c r="H31" s="33">
        <v>0</v>
      </c>
      <c r="I31" s="34">
        <v>0</v>
      </c>
      <c r="J31" s="35">
        <v>0</v>
      </c>
      <c r="K31" s="36">
        <v>0</v>
      </c>
      <c r="L31" s="37">
        <v>54150</v>
      </c>
      <c r="M31" s="38">
        <v>0</v>
      </c>
      <c r="N31" s="38">
        <v>0</v>
      </c>
      <c r="O31" s="39">
        <f t="shared" si="78"/>
        <v>54150</v>
      </c>
      <c r="P31" s="40">
        <v>47217</v>
      </c>
      <c r="Q31" s="28">
        <v>70000</v>
      </c>
      <c r="R31" s="29">
        <f>P31/Q31</f>
        <v>0.67452857142857148</v>
      </c>
      <c r="S31" s="30">
        <v>10424</v>
      </c>
      <c r="T31" s="31">
        <v>0</v>
      </c>
      <c r="U31" s="32">
        <f t="shared" si="79"/>
        <v>57641</v>
      </c>
      <c r="V31" s="33">
        <v>0</v>
      </c>
      <c r="W31" s="34">
        <v>0</v>
      </c>
      <c r="X31" s="35">
        <v>0</v>
      </c>
      <c r="Y31" s="36">
        <v>12471</v>
      </c>
      <c r="Z31" s="37">
        <v>29085</v>
      </c>
      <c r="AA31" s="38">
        <v>18132</v>
      </c>
      <c r="AB31" s="38">
        <v>0</v>
      </c>
      <c r="AC31" s="39">
        <f t="shared" si="80"/>
        <v>47217</v>
      </c>
      <c r="AD31" s="45">
        <v>128407</v>
      </c>
      <c r="AE31" s="28">
        <v>200000</v>
      </c>
      <c r="AF31" s="41">
        <f>AD31/AE31</f>
        <v>0.64203500000000002</v>
      </c>
      <c r="AG31" s="32">
        <f t="shared" si="81"/>
        <v>128407</v>
      </c>
      <c r="AH31" s="35">
        <v>0</v>
      </c>
      <c r="AI31" s="43">
        <v>0</v>
      </c>
      <c r="AJ31" s="35">
        <v>0</v>
      </c>
      <c r="AK31" s="43">
        <v>0</v>
      </c>
      <c r="AL31" s="44">
        <v>0</v>
      </c>
      <c r="AM31" s="38">
        <v>0</v>
      </c>
      <c r="AN31" s="38">
        <v>128407</v>
      </c>
      <c r="AO31" s="39">
        <f t="shared" si="82"/>
        <v>128407</v>
      </c>
      <c r="AP31" s="40">
        <f t="shared" si="83"/>
        <v>229774</v>
      </c>
      <c r="AQ31" s="28">
        <v>415000</v>
      </c>
      <c r="AR31" s="41">
        <f>AP31/AQ31</f>
        <v>0.55367228915662647</v>
      </c>
      <c r="AS31" s="30">
        <f t="shared" si="84"/>
        <v>379782</v>
      </c>
      <c r="AT31" s="30">
        <f t="shared" si="85"/>
        <v>0</v>
      </c>
      <c r="AU31" s="42">
        <f t="shared" si="86"/>
        <v>609556</v>
      </c>
      <c r="AV31" s="33">
        <f t="shared" si="87"/>
        <v>0</v>
      </c>
      <c r="AW31" s="46">
        <f t="shared" si="88"/>
        <v>0</v>
      </c>
      <c r="AX31" s="33">
        <f t="shared" si="89"/>
        <v>0</v>
      </c>
      <c r="AY31" s="46">
        <f t="shared" si="90"/>
        <v>12471</v>
      </c>
      <c r="AZ31" s="48">
        <f t="shared" si="91"/>
        <v>83235</v>
      </c>
      <c r="BA31" s="49">
        <f t="shared" si="92"/>
        <v>18132</v>
      </c>
      <c r="BB31" s="49">
        <f t="shared" si="93"/>
        <v>128407</v>
      </c>
      <c r="BC31" s="50">
        <f t="shared" si="94"/>
        <v>229774</v>
      </c>
      <c r="BD31" s="51"/>
    </row>
    <row r="32" spans="1:56" s="52" customFormat="1" ht="21.75" customHeight="1" x14ac:dyDescent="0.15">
      <c r="A32" s="53">
        <v>46078</v>
      </c>
      <c r="B32" s="27">
        <v>16299</v>
      </c>
      <c r="C32" s="28">
        <v>145000</v>
      </c>
      <c r="D32" s="29">
        <f>B32/C32</f>
        <v>0.11240689655172414</v>
      </c>
      <c r="E32" s="30">
        <v>454306</v>
      </c>
      <c r="F32" s="31">
        <v>338400</v>
      </c>
      <c r="G32" s="32">
        <f t="shared" si="77"/>
        <v>809005</v>
      </c>
      <c r="H32" s="33">
        <v>0</v>
      </c>
      <c r="I32" s="34">
        <v>0</v>
      </c>
      <c r="J32" s="35">
        <v>0</v>
      </c>
      <c r="K32" s="36">
        <v>0</v>
      </c>
      <c r="L32" s="37">
        <v>0</v>
      </c>
      <c r="M32" s="38">
        <v>16299</v>
      </c>
      <c r="N32" s="38">
        <v>0</v>
      </c>
      <c r="O32" s="39">
        <f t="shared" si="78"/>
        <v>16299</v>
      </c>
      <c r="P32" s="40">
        <v>87377</v>
      </c>
      <c r="Q32" s="28">
        <v>70000</v>
      </c>
      <c r="R32" s="29">
        <f>P32/Q32</f>
        <v>1.2482428571428572</v>
      </c>
      <c r="S32" s="30">
        <v>7770</v>
      </c>
      <c r="T32" s="31">
        <v>0</v>
      </c>
      <c r="U32" s="32">
        <f t="shared" si="79"/>
        <v>95147</v>
      </c>
      <c r="V32" s="33">
        <v>0</v>
      </c>
      <c r="W32" s="34">
        <v>0</v>
      </c>
      <c r="X32" s="35">
        <v>7718</v>
      </c>
      <c r="Y32" s="36">
        <v>6671</v>
      </c>
      <c r="Z32" s="37">
        <v>0</v>
      </c>
      <c r="AA32" s="38">
        <v>55117</v>
      </c>
      <c r="AB32" s="38">
        <v>32260</v>
      </c>
      <c r="AC32" s="39">
        <f t="shared" si="80"/>
        <v>87377</v>
      </c>
      <c r="AD32" s="45">
        <v>575914</v>
      </c>
      <c r="AE32" s="28">
        <v>200000</v>
      </c>
      <c r="AF32" s="41">
        <f>AD32/AE32</f>
        <v>2.8795700000000002</v>
      </c>
      <c r="AG32" s="32">
        <f t="shared" si="81"/>
        <v>575914</v>
      </c>
      <c r="AH32" s="35">
        <v>0</v>
      </c>
      <c r="AI32" s="43">
        <v>0</v>
      </c>
      <c r="AJ32" s="35">
        <v>0</v>
      </c>
      <c r="AK32" s="43">
        <v>0</v>
      </c>
      <c r="AL32" s="44">
        <v>575914</v>
      </c>
      <c r="AM32" s="38">
        <v>0</v>
      </c>
      <c r="AN32" s="38">
        <v>0</v>
      </c>
      <c r="AO32" s="39">
        <f t="shared" si="82"/>
        <v>575914</v>
      </c>
      <c r="AP32" s="40">
        <f t="shared" si="83"/>
        <v>679590</v>
      </c>
      <c r="AQ32" s="28">
        <v>415000</v>
      </c>
      <c r="AR32" s="41">
        <f>AP32/AQ32</f>
        <v>1.6375662650602409</v>
      </c>
      <c r="AS32" s="30">
        <f t="shared" si="84"/>
        <v>462076</v>
      </c>
      <c r="AT32" s="30">
        <f t="shared" si="85"/>
        <v>338400</v>
      </c>
      <c r="AU32" s="42">
        <f t="shared" si="86"/>
        <v>1480066</v>
      </c>
      <c r="AV32" s="33">
        <f t="shared" si="87"/>
        <v>0</v>
      </c>
      <c r="AW32" s="46">
        <f t="shared" si="88"/>
        <v>0</v>
      </c>
      <c r="AX32" s="33">
        <f t="shared" si="89"/>
        <v>7718</v>
      </c>
      <c r="AY32" s="46">
        <f t="shared" si="90"/>
        <v>6671</v>
      </c>
      <c r="AZ32" s="48">
        <f t="shared" si="91"/>
        <v>575914</v>
      </c>
      <c r="BA32" s="49">
        <f t="shared" si="92"/>
        <v>71416</v>
      </c>
      <c r="BB32" s="49">
        <f t="shared" si="93"/>
        <v>32260</v>
      </c>
      <c r="BC32" s="50">
        <f t="shared" si="94"/>
        <v>679590</v>
      </c>
      <c r="BD32" s="51"/>
    </row>
    <row r="33" spans="1:56" s="52" customFormat="1" ht="21.75" customHeight="1" x14ac:dyDescent="0.15">
      <c r="A33" s="53">
        <v>46079</v>
      </c>
      <c r="B33" s="27">
        <v>60954</v>
      </c>
      <c r="C33" s="28">
        <v>145000</v>
      </c>
      <c r="D33" s="29">
        <f>B33/C33</f>
        <v>0.42037241379310347</v>
      </c>
      <c r="E33" s="30">
        <v>299328</v>
      </c>
      <c r="F33" s="31">
        <v>112800</v>
      </c>
      <c r="G33" s="32">
        <f t="shared" si="77"/>
        <v>473082</v>
      </c>
      <c r="H33" s="33">
        <v>0</v>
      </c>
      <c r="I33" s="34">
        <v>0</v>
      </c>
      <c r="J33" s="35">
        <v>0</v>
      </c>
      <c r="K33" s="36">
        <v>48802</v>
      </c>
      <c r="L33" s="37">
        <v>60954</v>
      </c>
      <c r="M33" s="38">
        <v>0</v>
      </c>
      <c r="N33" s="38">
        <v>0</v>
      </c>
      <c r="O33" s="39">
        <f t="shared" si="78"/>
        <v>60954</v>
      </c>
      <c r="P33" s="40">
        <v>104177</v>
      </c>
      <c r="Q33" s="28">
        <v>70000</v>
      </c>
      <c r="R33" s="29">
        <f>P33/Q33</f>
        <v>1.4882428571428572</v>
      </c>
      <c r="S33" s="30">
        <v>0</v>
      </c>
      <c r="T33" s="31">
        <v>0</v>
      </c>
      <c r="U33" s="32">
        <f t="shared" si="79"/>
        <v>104177</v>
      </c>
      <c r="V33" s="33">
        <v>0</v>
      </c>
      <c r="W33" s="34">
        <v>0</v>
      </c>
      <c r="X33" s="35">
        <v>0</v>
      </c>
      <c r="Y33" s="36">
        <v>0</v>
      </c>
      <c r="Z33" s="37">
        <v>70161</v>
      </c>
      <c r="AA33" s="38">
        <v>34016</v>
      </c>
      <c r="AB33" s="38">
        <v>0</v>
      </c>
      <c r="AC33" s="39">
        <f t="shared" si="80"/>
        <v>104177</v>
      </c>
      <c r="AD33" s="45">
        <v>285130</v>
      </c>
      <c r="AE33" s="28">
        <v>200000</v>
      </c>
      <c r="AF33" s="41">
        <f>AD33/AE33</f>
        <v>1.4256500000000001</v>
      </c>
      <c r="AG33" s="32">
        <f t="shared" si="81"/>
        <v>285130</v>
      </c>
      <c r="AH33" s="35">
        <v>0</v>
      </c>
      <c r="AI33" s="43">
        <v>0</v>
      </c>
      <c r="AJ33" s="35">
        <v>0</v>
      </c>
      <c r="AK33" s="43">
        <v>0</v>
      </c>
      <c r="AL33" s="44">
        <v>247750</v>
      </c>
      <c r="AM33" s="38">
        <v>37380</v>
      </c>
      <c r="AN33" s="38">
        <v>0</v>
      </c>
      <c r="AO33" s="39">
        <f t="shared" si="82"/>
        <v>285130</v>
      </c>
      <c r="AP33" s="40">
        <f t="shared" si="83"/>
        <v>450261</v>
      </c>
      <c r="AQ33" s="28">
        <v>415000</v>
      </c>
      <c r="AR33" s="41">
        <f>AP33/AQ33</f>
        <v>1.084966265060241</v>
      </c>
      <c r="AS33" s="30">
        <f t="shared" si="84"/>
        <v>299328</v>
      </c>
      <c r="AT33" s="30">
        <f t="shared" si="85"/>
        <v>112800</v>
      </c>
      <c r="AU33" s="42">
        <f t="shared" si="86"/>
        <v>862389</v>
      </c>
      <c r="AV33" s="33">
        <f t="shared" si="87"/>
        <v>0</v>
      </c>
      <c r="AW33" s="46">
        <f t="shared" si="88"/>
        <v>0</v>
      </c>
      <c r="AX33" s="33">
        <f t="shared" si="89"/>
        <v>0</v>
      </c>
      <c r="AY33" s="47">
        <f t="shared" si="90"/>
        <v>48802</v>
      </c>
      <c r="AZ33" s="48">
        <f t="shared" si="91"/>
        <v>378865</v>
      </c>
      <c r="BA33" s="49">
        <f t="shared" si="92"/>
        <v>71396</v>
      </c>
      <c r="BB33" s="49">
        <f t="shared" si="93"/>
        <v>0</v>
      </c>
      <c r="BC33" s="50">
        <f t="shared" si="94"/>
        <v>450261</v>
      </c>
      <c r="BD33" s="51"/>
    </row>
    <row r="34" spans="1:56" s="52" customFormat="1" ht="21.75" customHeight="1" x14ac:dyDescent="0.15">
      <c r="A34" s="53">
        <v>46080</v>
      </c>
      <c r="B34" s="27">
        <v>174521</v>
      </c>
      <c r="C34" s="28">
        <v>145000</v>
      </c>
      <c r="D34" s="29">
        <f>B34/C34</f>
        <v>1.2035931034482759</v>
      </c>
      <c r="E34" s="30">
        <v>10672</v>
      </c>
      <c r="F34" s="31">
        <v>335006</v>
      </c>
      <c r="G34" s="32">
        <f t="shared" si="77"/>
        <v>520199</v>
      </c>
      <c r="H34" s="33">
        <v>0</v>
      </c>
      <c r="I34" s="34">
        <v>0</v>
      </c>
      <c r="J34" s="35">
        <v>0</v>
      </c>
      <c r="K34" s="36">
        <v>0</v>
      </c>
      <c r="L34" s="37">
        <v>147954</v>
      </c>
      <c r="M34" s="38">
        <v>0</v>
      </c>
      <c r="N34" s="38">
        <v>26567</v>
      </c>
      <c r="O34" s="39">
        <f t="shared" si="78"/>
        <v>174521</v>
      </c>
      <c r="P34" s="40">
        <v>36216</v>
      </c>
      <c r="Q34" s="28">
        <v>70000</v>
      </c>
      <c r="R34" s="29">
        <f>P34/Q34</f>
        <v>0.51737142857142859</v>
      </c>
      <c r="S34" s="30">
        <v>26276</v>
      </c>
      <c r="T34" s="31">
        <v>101850</v>
      </c>
      <c r="U34" s="32">
        <f t="shared" si="79"/>
        <v>164342</v>
      </c>
      <c r="V34" s="33">
        <v>0</v>
      </c>
      <c r="W34" s="34">
        <v>0</v>
      </c>
      <c r="X34" s="35">
        <v>0</v>
      </c>
      <c r="Y34" s="36">
        <v>0</v>
      </c>
      <c r="Z34" s="37">
        <v>36216</v>
      </c>
      <c r="AA34" s="38">
        <v>0</v>
      </c>
      <c r="AB34" s="38">
        <v>0</v>
      </c>
      <c r="AC34" s="39">
        <f t="shared" si="80"/>
        <v>36216</v>
      </c>
      <c r="AD34" s="45">
        <v>353319</v>
      </c>
      <c r="AE34" s="28">
        <v>200000</v>
      </c>
      <c r="AF34" s="41">
        <f>AD34/AE34</f>
        <v>1.7665949999999999</v>
      </c>
      <c r="AG34" s="32">
        <f t="shared" si="81"/>
        <v>353319</v>
      </c>
      <c r="AH34" s="35">
        <v>0</v>
      </c>
      <c r="AI34" s="43">
        <v>0</v>
      </c>
      <c r="AJ34" s="35">
        <v>0</v>
      </c>
      <c r="AK34" s="43">
        <v>48802</v>
      </c>
      <c r="AL34" s="44">
        <v>239968</v>
      </c>
      <c r="AM34" s="38">
        <v>43076</v>
      </c>
      <c r="AN34" s="38">
        <v>70275</v>
      </c>
      <c r="AO34" s="39">
        <f t="shared" si="82"/>
        <v>353319</v>
      </c>
      <c r="AP34" s="40">
        <f t="shared" si="83"/>
        <v>564056</v>
      </c>
      <c r="AQ34" s="28">
        <v>415000</v>
      </c>
      <c r="AR34" s="41">
        <f>AP34/AQ34</f>
        <v>1.3591710843373495</v>
      </c>
      <c r="AS34" s="30">
        <f t="shared" si="84"/>
        <v>36948</v>
      </c>
      <c r="AT34" s="30">
        <f t="shared" si="85"/>
        <v>436856</v>
      </c>
      <c r="AU34" s="42">
        <f t="shared" si="86"/>
        <v>1037860</v>
      </c>
      <c r="AV34" s="33">
        <f t="shared" si="87"/>
        <v>0</v>
      </c>
      <c r="AW34" s="46">
        <f t="shared" si="88"/>
        <v>0</v>
      </c>
      <c r="AX34" s="33">
        <f t="shared" si="89"/>
        <v>0</v>
      </c>
      <c r="AY34" s="47">
        <f t="shared" si="90"/>
        <v>48802</v>
      </c>
      <c r="AZ34" s="48">
        <f t="shared" si="91"/>
        <v>424138</v>
      </c>
      <c r="BA34" s="49">
        <f t="shared" si="92"/>
        <v>43076</v>
      </c>
      <c r="BB34" s="49">
        <f t="shared" si="93"/>
        <v>96842</v>
      </c>
      <c r="BC34" s="50">
        <f t="shared" si="94"/>
        <v>564056</v>
      </c>
      <c r="BD34" s="51"/>
    </row>
    <row r="35" spans="1:56" s="52" customFormat="1" ht="21.75" customHeight="1" thickBot="1" x14ac:dyDescent="0.2">
      <c r="A35" s="26">
        <v>46081</v>
      </c>
      <c r="B35" s="27">
        <v>0</v>
      </c>
      <c r="C35" s="28">
        <v>0</v>
      </c>
      <c r="D35" s="29">
        <v>0</v>
      </c>
      <c r="E35" s="30">
        <v>0</v>
      </c>
      <c r="F35" s="31">
        <v>0</v>
      </c>
      <c r="G35" s="32">
        <f t="shared" ref="G35" si="95">B35+E35+F35</f>
        <v>0</v>
      </c>
      <c r="H35" s="33">
        <v>0</v>
      </c>
      <c r="I35" s="34">
        <v>0</v>
      </c>
      <c r="J35" s="35">
        <v>0</v>
      </c>
      <c r="K35" s="36">
        <v>0</v>
      </c>
      <c r="L35" s="37">
        <v>0</v>
      </c>
      <c r="M35" s="38">
        <v>0</v>
      </c>
      <c r="N35" s="38">
        <v>0</v>
      </c>
      <c r="O35" s="39">
        <f t="shared" ref="O35" si="96">SUM(L35:N35)</f>
        <v>0</v>
      </c>
      <c r="P35" s="40">
        <v>0</v>
      </c>
      <c r="Q35" s="28">
        <v>0</v>
      </c>
      <c r="R35" s="29">
        <v>0</v>
      </c>
      <c r="S35" s="30">
        <v>0</v>
      </c>
      <c r="T35" s="31">
        <v>0</v>
      </c>
      <c r="U35" s="32">
        <f t="shared" ref="U35" si="97">P35+S35+T35</f>
        <v>0</v>
      </c>
      <c r="V35" s="33">
        <v>0</v>
      </c>
      <c r="W35" s="34">
        <v>0</v>
      </c>
      <c r="X35" s="35">
        <v>0</v>
      </c>
      <c r="Y35" s="36">
        <v>0</v>
      </c>
      <c r="Z35" s="37">
        <v>0</v>
      </c>
      <c r="AA35" s="38">
        <v>0</v>
      </c>
      <c r="AB35" s="38">
        <v>0</v>
      </c>
      <c r="AC35" s="39">
        <f t="shared" ref="AC35" si="98">SUM(Z35:AB35)</f>
        <v>0</v>
      </c>
      <c r="AD35" s="45">
        <v>0</v>
      </c>
      <c r="AE35" s="28">
        <v>0</v>
      </c>
      <c r="AF35" s="41">
        <v>0</v>
      </c>
      <c r="AG35" s="32">
        <f t="shared" ref="AG35" si="99">AD35</f>
        <v>0</v>
      </c>
      <c r="AH35" s="35">
        <v>0</v>
      </c>
      <c r="AI35" s="43">
        <v>0</v>
      </c>
      <c r="AJ35" s="35">
        <v>0</v>
      </c>
      <c r="AK35" s="43">
        <v>0</v>
      </c>
      <c r="AL35" s="44">
        <v>0</v>
      </c>
      <c r="AM35" s="38">
        <v>0</v>
      </c>
      <c r="AN35" s="38">
        <v>0</v>
      </c>
      <c r="AO35" s="39">
        <f t="shared" ref="AO35" si="100">SUM(AL35:AN35)</f>
        <v>0</v>
      </c>
      <c r="AP35" s="40">
        <f t="shared" ref="AP35" si="101">AD35+P35+B35</f>
        <v>0</v>
      </c>
      <c r="AQ35" s="28">
        <v>0</v>
      </c>
      <c r="AR35" s="41">
        <v>0</v>
      </c>
      <c r="AS35" s="30">
        <f t="shared" ref="AS35" si="102">E35+S35</f>
        <v>0</v>
      </c>
      <c r="AT35" s="30">
        <f t="shared" ref="AT35" si="103">F35+T35</f>
        <v>0</v>
      </c>
      <c r="AU35" s="42">
        <f t="shared" ref="AU35" si="104">AP35+AS35+AT35</f>
        <v>0</v>
      </c>
      <c r="AV35" s="33">
        <f t="shared" ref="AV35" si="105">SUM(H35,V35,AH35)</f>
        <v>0</v>
      </c>
      <c r="AW35" s="46">
        <f t="shared" ref="AW35" si="106">SUM(I35,W35,AI35)</f>
        <v>0</v>
      </c>
      <c r="AX35" s="33">
        <f t="shared" ref="AX35" si="107">SUM(J35,X35,AJ35)</f>
        <v>0</v>
      </c>
      <c r="AY35" s="46">
        <f t="shared" ref="AY35" si="108">SUM(K35,Y35,AK35)</f>
        <v>0</v>
      </c>
      <c r="AZ35" s="48">
        <f t="shared" ref="AZ35" si="109">L35+Z35+AL35</f>
        <v>0</v>
      </c>
      <c r="BA35" s="49">
        <f t="shared" ref="BA35" si="110">M35+AA35+AM35</f>
        <v>0</v>
      </c>
      <c r="BB35" s="49">
        <f t="shared" ref="BB35" si="111">N35+AB35+AN35</f>
        <v>0</v>
      </c>
      <c r="BC35" s="50">
        <f t="shared" ref="BC35" si="112">SUM(AZ35:BB35)</f>
        <v>0</v>
      </c>
      <c r="BD35" s="51"/>
    </row>
    <row r="36" spans="1:56" s="10" customFormat="1" ht="21.75" customHeight="1" thickTop="1" thickBot="1" x14ac:dyDescent="0.2">
      <c r="A36" s="54" t="s">
        <v>26</v>
      </c>
      <c r="B36" s="55">
        <f>SUM(B8:B35)</f>
        <v>1469350</v>
      </c>
      <c r="C36" s="56">
        <f>SUM(C8:C35)</f>
        <v>2465000</v>
      </c>
      <c r="D36" s="57">
        <f>B36/C36</f>
        <v>0.59608519269776872</v>
      </c>
      <c r="E36" s="58">
        <f>SUM(E8:E35)</f>
        <v>3474160</v>
      </c>
      <c r="F36" s="59">
        <f>SUM(F8:F35)</f>
        <v>4240743</v>
      </c>
      <c r="G36" s="60">
        <f>B36+E36+F36</f>
        <v>9184253</v>
      </c>
      <c r="H36" s="61">
        <f t="shared" ref="H36:N36" si="113">SUM(H8:H35)</f>
        <v>0</v>
      </c>
      <c r="I36" s="62">
        <f t="shared" si="113"/>
        <v>0</v>
      </c>
      <c r="J36" s="61">
        <f t="shared" si="113"/>
        <v>17846</v>
      </c>
      <c r="K36" s="62">
        <f t="shared" si="113"/>
        <v>58736</v>
      </c>
      <c r="L36" s="63">
        <f t="shared" si="113"/>
        <v>1042608</v>
      </c>
      <c r="M36" s="63">
        <f t="shared" si="113"/>
        <v>400175</v>
      </c>
      <c r="N36" s="63">
        <f t="shared" si="113"/>
        <v>26567</v>
      </c>
      <c r="O36" s="64">
        <f>SUM(L36:N36)</f>
        <v>1469350</v>
      </c>
      <c r="P36" s="65">
        <f>SUM(P8:P35)</f>
        <v>1314768</v>
      </c>
      <c r="Q36" s="56">
        <f>SUM(Q8:Q35)</f>
        <v>1190000</v>
      </c>
      <c r="R36" s="57">
        <f>P36/Q36</f>
        <v>1.1048470588235295</v>
      </c>
      <c r="S36" s="58">
        <f>SUM(S8:S35)</f>
        <v>183953</v>
      </c>
      <c r="T36" s="59">
        <f>SUM(T8:T35)</f>
        <v>756450</v>
      </c>
      <c r="U36" s="60">
        <f>P36+S36+T36</f>
        <v>2255171</v>
      </c>
      <c r="V36" s="61">
        <f t="shared" ref="V36:AB36" si="114">SUM(V8:V35)</f>
        <v>0</v>
      </c>
      <c r="W36" s="62">
        <f t="shared" si="114"/>
        <v>0</v>
      </c>
      <c r="X36" s="61">
        <f t="shared" si="114"/>
        <v>50531</v>
      </c>
      <c r="Y36" s="62">
        <f t="shared" si="114"/>
        <v>45389</v>
      </c>
      <c r="Z36" s="63">
        <f t="shared" si="114"/>
        <v>512495</v>
      </c>
      <c r="AA36" s="63">
        <f t="shared" si="114"/>
        <v>770013</v>
      </c>
      <c r="AB36" s="63">
        <f t="shared" si="114"/>
        <v>32260</v>
      </c>
      <c r="AC36" s="64">
        <f>SUM(Z36:AB36)</f>
        <v>1314768</v>
      </c>
      <c r="AD36" s="69">
        <f>SUM(AD8:AD35)</f>
        <v>4116126</v>
      </c>
      <c r="AE36" s="56">
        <f>SUM(AE8:AE35)</f>
        <v>3400000</v>
      </c>
      <c r="AF36" s="57">
        <f>AD36/AE36</f>
        <v>1.210625294117647</v>
      </c>
      <c r="AG36" s="60">
        <f t="shared" ref="AG36:AQ36" si="115">SUM(AG8:AG35)</f>
        <v>4116126</v>
      </c>
      <c r="AH36" s="61">
        <f t="shared" si="115"/>
        <v>0</v>
      </c>
      <c r="AI36" s="62">
        <f t="shared" si="115"/>
        <v>0</v>
      </c>
      <c r="AJ36" s="61">
        <f t="shared" si="115"/>
        <v>123144</v>
      </c>
      <c r="AK36" s="62">
        <f t="shared" si="115"/>
        <v>48802</v>
      </c>
      <c r="AL36" s="63">
        <f t="shared" si="115"/>
        <v>3418629</v>
      </c>
      <c r="AM36" s="63">
        <f t="shared" si="115"/>
        <v>273136</v>
      </c>
      <c r="AN36" s="63">
        <f t="shared" si="115"/>
        <v>424361</v>
      </c>
      <c r="AO36" s="70">
        <f t="shared" si="115"/>
        <v>4116126</v>
      </c>
      <c r="AP36" s="71">
        <f t="shared" si="115"/>
        <v>6900244</v>
      </c>
      <c r="AQ36" s="56">
        <f t="shared" si="115"/>
        <v>7055000</v>
      </c>
      <c r="AR36" s="97">
        <f>AP36/AQ36</f>
        <v>0.97806435152374205</v>
      </c>
      <c r="AS36" s="58">
        <f t="shared" ref="AS36:BB36" si="116">SUM(AS8:AS35)</f>
        <v>3658113</v>
      </c>
      <c r="AT36" s="58">
        <f t="shared" si="116"/>
        <v>4997193</v>
      </c>
      <c r="AU36" s="72">
        <f t="shared" si="116"/>
        <v>15555550</v>
      </c>
      <c r="AV36" s="61">
        <f t="shared" si="116"/>
        <v>0</v>
      </c>
      <c r="AW36" s="73">
        <f t="shared" si="116"/>
        <v>0</v>
      </c>
      <c r="AX36" s="61">
        <f t="shared" si="116"/>
        <v>191521</v>
      </c>
      <c r="AY36" s="73">
        <f t="shared" si="116"/>
        <v>152927</v>
      </c>
      <c r="AZ36" s="74">
        <f t="shared" si="116"/>
        <v>4973732</v>
      </c>
      <c r="BA36" s="75">
        <f t="shared" si="116"/>
        <v>1443324</v>
      </c>
      <c r="BB36" s="75">
        <f t="shared" si="116"/>
        <v>483188</v>
      </c>
      <c r="BC36" s="64">
        <f>SUM(AZ36:BB36)</f>
        <v>6900244</v>
      </c>
      <c r="BD36" s="76">
        <f>SUM(BD8:BD35)</f>
        <v>0</v>
      </c>
    </row>
    <row r="37" spans="1:56" x14ac:dyDescent="0.15">
      <c r="B37" s="78"/>
      <c r="C37" s="78"/>
      <c r="D37" s="78"/>
      <c r="E37" s="78"/>
      <c r="P37" s="78"/>
      <c r="R37" s="78"/>
      <c r="S37" s="78"/>
    </row>
    <row r="38" spans="1:56" ht="20.25" x14ac:dyDescent="0.2">
      <c r="D38" s="77" ph="1"/>
      <c r="R38" s="77" ph="1"/>
    </row>
    <row r="39" spans="1:56" ht="20.25" x14ac:dyDescent="0.2">
      <c r="D39" s="77" ph="1"/>
      <c r="R39" s="77" ph="1"/>
    </row>
    <row r="40" spans="1:56" ht="20.25" x14ac:dyDescent="0.2">
      <c r="D40" s="77" ph="1"/>
      <c r="R40" s="77" ph="1"/>
    </row>
    <row r="41" spans="1:56" ht="20.25" x14ac:dyDescent="0.2">
      <c r="D41" s="77" ph="1"/>
      <c r="R41" s="77" ph="1"/>
    </row>
    <row r="42" spans="1:56" ht="20.25" x14ac:dyDescent="0.2">
      <c r="D42" s="77" ph="1"/>
      <c r="R42" s="77" ph="1"/>
    </row>
    <row r="43" spans="1:56" ht="20.25" x14ac:dyDescent="0.2">
      <c r="D43" s="77" ph="1"/>
      <c r="R43" s="77" ph="1"/>
    </row>
  </sheetData>
  <customSheetViews>
    <customSheetView guid="{92DE7E81-188B-400C-BE95-FD63ABDF8569}" scale="85" printArea="1" showRuler="0">
      <pane xSplit="1" ySplit="7" topLeftCell="AA21" activePane="bottomRight" state="frozen"/>
      <selection pane="bottomRight" activeCell="AE27" sqref="AE27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11C8E2F-3E2A-4A2A-9E9E-AAFA15EA9C86}" scale="70" printArea="1" hiddenColumns="1" view="pageBreakPreview" showRuler="0">
      <pane xSplit="1" ySplit="7" topLeftCell="B8" activePane="bottomRight" state="frozen"/>
      <selection pane="bottomRight" activeCell="AZ1" sqref="AZ1:BD1048576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85" printArea="1" showRuler="0">
      <pane xSplit="1" ySplit="7" topLeftCell="AA21" activePane="bottomRight" state="frozen"/>
      <selection pane="bottomRight" activeCell="AE27" sqref="AE27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85" printArea="1" showRuler="0">
      <pane xSplit="1" ySplit="7" topLeftCell="AA21" activePane="bottomRight" state="frozen"/>
      <selection pane="bottomRight" activeCell="AE27" sqref="AE27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85" showRuler="0">
      <pane xSplit="1" ySplit="7" topLeftCell="AA21" activePane="bottomRight" state="frozen"/>
      <selection pane="bottomRight" activeCell="AE27" sqref="AE27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5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0">
    <mergeCell ref="AZ5:BC5"/>
    <mergeCell ref="BD5:BD7"/>
    <mergeCell ref="U6:U7"/>
    <mergeCell ref="V6:W6"/>
    <mergeCell ref="X6:Y6"/>
    <mergeCell ref="Z6:AC6"/>
    <mergeCell ref="AD6:AF6"/>
    <mergeCell ref="AU6:AU7"/>
    <mergeCell ref="AV6:AW6"/>
    <mergeCell ref="AX6:AY6"/>
    <mergeCell ref="AZ6:BC6"/>
    <mergeCell ref="AH6:AI6"/>
    <mergeCell ref="AJ6:AK6"/>
    <mergeCell ref="AL6:AO6"/>
    <mergeCell ref="V5:AC5"/>
    <mergeCell ref="AD5:AG5"/>
    <mergeCell ref="J6:K6"/>
    <mergeCell ref="A5:A7"/>
    <mergeCell ref="B5:G5"/>
    <mergeCell ref="H5:O5"/>
    <mergeCell ref="P5:U5"/>
    <mergeCell ref="B6:D6"/>
    <mergeCell ref="E6:E7"/>
    <mergeCell ref="F6:F7"/>
    <mergeCell ref="G6:G7"/>
    <mergeCell ref="H6:I6"/>
    <mergeCell ref="L6:O6"/>
    <mergeCell ref="P6:R6"/>
    <mergeCell ref="S6:S7"/>
    <mergeCell ref="T6:T7"/>
    <mergeCell ref="AT1:AW1"/>
    <mergeCell ref="AG6:AG7"/>
    <mergeCell ref="AX1:AY1"/>
    <mergeCell ref="AR2:AS4"/>
    <mergeCell ref="AT2:AW4"/>
    <mergeCell ref="AX2:AY4"/>
    <mergeCell ref="AP6:AR6"/>
    <mergeCell ref="AS6:AS7"/>
    <mergeCell ref="AT6:AT7"/>
    <mergeCell ref="AH5:AO5"/>
    <mergeCell ref="AP5:AY5"/>
    <mergeCell ref="A1:D4"/>
    <mergeCell ref="E1:Q2"/>
    <mergeCell ref="R1:AO2"/>
    <mergeCell ref="AP1:AQ4"/>
    <mergeCell ref="AR1:AS1"/>
    <mergeCell ref="E3:Q3"/>
    <mergeCell ref="R3:AO3"/>
    <mergeCell ref="E4:Q4"/>
    <mergeCell ref="R4:AO4"/>
  </mergeCells>
  <phoneticPr fontId="3" type="noConversion"/>
  <pageMargins left="0.23" right="0" top="0.75" bottom="0" header="0.39370078740157483" footer="0.2"/>
  <pageSetup paperSize="9" scale="53" orientation="landscape" r:id="rId6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D46"/>
  <sheetViews>
    <sheetView showRuler="0" zoomScale="85" zoomScaleNormal="85" zoomScaleSheetLayoutView="70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B35" sqref="B35:BC36"/>
    </sheetView>
  </sheetViews>
  <sheetFormatPr defaultRowHeight="15" x14ac:dyDescent="0.15"/>
  <cols>
    <col min="1" max="1" width="7" style="77" customWidth="1"/>
    <col min="2" max="3" width="10.33203125" style="77" customWidth="1"/>
    <col min="4" max="4" width="10.109375" style="77" customWidth="1"/>
    <col min="5" max="6" width="9.88671875" style="77" customWidth="1"/>
    <col min="7" max="7" width="10.21875" style="77" customWidth="1"/>
    <col min="8" max="8" width="10.33203125" style="79" customWidth="1"/>
    <col min="9" max="9" width="10" style="79" customWidth="1"/>
    <col min="10" max="10" width="10.33203125" style="79" customWidth="1"/>
    <col min="11" max="11" width="10" style="79" customWidth="1"/>
    <col min="12" max="15" width="10.33203125" style="80" customWidth="1"/>
    <col min="16" max="16" width="10.33203125" style="77" customWidth="1"/>
    <col min="17" max="17" width="10.33203125" style="81" customWidth="1"/>
    <col min="18" max="19" width="10.109375" style="77" customWidth="1"/>
    <col min="20" max="20" width="9.88671875" style="82" customWidth="1"/>
    <col min="21" max="21" width="10.21875" style="77" customWidth="1"/>
    <col min="22" max="22" width="10.33203125" style="79" customWidth="1"/>
    <col min="23" max="23" width="10" style="79" customWidth="1"/>
    <col min="24" max="24" width="10.33203125" style="79" customWidth="1"/>
    <col min="25" max="25" width="10" style="79" customWidth="1"/>
    <col min="26" max="29" width="10.33203125" style="80" customWidth="1"/>
    <col min="30" max="30" width="11.109375" style="77" customWidth="1"/>
    <col min="31" max="31" width="10.33203125" style="81" customWidth="1"/>
    <col min="32" max="32" width="10.109375" style="77" customWidth="1"/>
    <col min="33" max="33" width="10.33203125" style="77" customWidth="1"/>
    <col min="34" max="34" width="10.33203125" style="79" customWidth="1"/>
    <col min="35" max="35" width="10" style="79" customWidth="1"/>
    <col min="36" max="36" width="10.33203125" style="79" customWidth="1"/>
    <col min="37" max="37" width="10" style="79" customWidth="1"/>
    <col min="38" max="41" width="10.33203125" style="80" customWidth="1"/>
    <col min="42" max="42" width="11.6640625" style="77" customWidth="1"/>
    <col min="43" max="43" width="10.88671875" style="81" customWidth="1"/>
    <col min="44" max="44" width="9.33203125" style="77" customWidth="1"/>
    <col min="45" max="45" width="10.33203125" style="77" customWidth="1"/>
    <col min="46" max="46" width="10.33203125" style="83" customWidth="1"/>
    <col min="47" max="47" width="11.33203125" style="77" customWidth="1"/>
    <col min="48" max="48" width="10.33203125" style="79" customWidth="1"/>
    <col min="49" max="49" width="10" style="79" customWidth="1"/>
    <col min="50" max="50" width="10.33203125" style="79" customWidth="1"/>
    <col min="51" max="51" width="10" style="79" customWidth="1"/>
    <col min="52" max="54" width="10.33203125" style="84" customWidth="1"/>
    <col min="55" max="55" width="11.21875" style="84" customWidth="1"/>
    <col min="56" max="56" width="11.5546875" style="85" customWidth="1"/>
    <col min="57" max="57" width="8.88671875" style="85" customWidth="1"/>
    <col min="58" max="58" width="9.77734375" style="85" bestFit="1" customWidth="1"/>
    <col min="59" max="16384" width="8.88671875" style="85"/>
  </cols>
  <sheetData>
    <row r="1" spans="1:56" s="5" customFormat="1" ht="28.5" customHeight="1" x14ac:dyDescent="0.15">
      <c r="A1" s="101"/>
      <c r="B1" s="102"/>
      <c r="C1" s="102"/>
      <c r="D1" s="102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07" t="s">
        <v>1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9"/>
      <c r="AQ1" s="182" t="s">
        <v>123</v>
      </c>
      <c r="AR1" s="113" t="s">
        <v>3</v>
      </c>
      <c r="AS1" s="113"/>
      <c r="AT1" s="113" t="s">
        <v>4</v>
      </c>
      <c r="AU1" s="113"/>
      <c r="AV1" s="113"/>
      <c r="AW1" s="113"/>
      <c r="AX1" s="113" t="s">
        <v>5</v>
      </c>
      <c r="AY1" s="132"/>
      <c r="AZ1" s="3"/>
      <c r="BA1" s="4"/>
      <c r="BB1" s="4"/>
      <c r="BC1" s="4"/>
    </row>
    <row r="2" spans="1:56" s="5" customFormat="1" ht="15" customHeight="1" x14ac:dyDescent="0.15">
      <c r="A2" s="103"/>
      <c r="B2" s="104"/>
      <c r="C2" s="104"/>
      <c r="D2" s="104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79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1"/>
      <c r="AQ2" s="183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</row>
    <row r="3" spans="1:56" s="5" customFormat="1" ht="39.950000000000003" customHeight="1" x14ac:dyDescent="0.15">
      <c r="A3" s="103"/>
      <c r="B3" s="104"/>
      <c r="C3" s="104"/>
      <c r="D3" s="104"/>
      <c r="E3" s="120" t="s">
        <v>6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2"/>
      <c r="R3" s="138" t="s">
        <v>124</v>
      </c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83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</row>
    <row r="4" spans="1:56" s="5" customFormat="1" ht="39.950000000000003" customHeight="1" thickBot="1" x14ac:dyDescent="0.2">
      <c r="A4" s="105"/>
      <c r="B4" s="106"/>
      <c r="C4" s="106"/>
      <c r="D4" s="106"/>
      <c r="E4" s="123" t="s">
        <v>7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41" t="s">
        <v>8</v>
      </c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3"/>
      <c r="AQ4" s="184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</row>
    <row r="5" spans="1:56" s="10" customFormat="1" ht="21.75" customHeight="1" thickBot="1" x14ac:dyDescent="0.2">
      <c r="A5" s="144"/>
      <c r="B5" s="147" t="s">
        <v>107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102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108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105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9</v>
      </c>
      <c r="BA5" s="172"/>
      <c r="BB5" s="172"/>
      <c r="BC5" s="173"/>
      <c r="BD5" s="155" t="s">
        <v>10</v>
      </c>
    </row>
    <row r="6" spans="1:56" s="11" customFormat="1" ht="21.75" customHeight="1" x14ac:dyDescent="0.15">
      <c r="A6" s="145"/>
      <c r="B6" s="150" t="s">
        <v>106</v>
      </c>
      <c r="C6" s="151"/>
      <c r="D6" s="151"/>
      <c r="E6" s="151" t="s">
        <v>11</v>
      </c>
      <c r="F6" s="153" t="s">
        <v>12</v>
      </c>
      <c r="G6" s="151" t="s">
        <v>13</v>
      </c>
      <c r="H6" s="159" t="s">
        <v>14</v>
      </c>
      <c r="I6" s="159"/>
      <c r="J6" s="159" t="s">
        <v>15</v>
      </c>
      <c r="K6" s="159"/>
      <c r="L6" s="160" t="s">
        <v>16</v>
      </c>
      <c r="M6" s="160"/>
      <c r="N6" s="160"/>
      <c r="O6" s="161"/>
      <c r="P6" s="150" t="s">
        <v>101</v>
      </c>
      <c r="Q6" s="151"/>
      <c r="R6" s="151"/>
      <c r="S6" s="151" t="s">
        <v>11</v>
      </c>
      <c r="T6" s="153" t="s">
        <v>12</v>
      </c>
      <c r="U6" s="151" t="s">
        <v>13</v>
      </c>
      <c r="V6" s="159" t="s">
        <v>14</v>
      </c>
      <c r="W6" s="159"/>
      <c r="X6" s="159" t="s">
        <v>15</v>
      </c>
      <c r="Y6" s="159"/>
      <c r="Z6" s="160" t="s">
        <v>16</v>
      </c>
      <c r="AA6" s="160"/>
      <c r="AB6" s="160"/>
      <c r="AC6" s="161"/>
      <c r="AD6" s="150" t="s">
        <v>103</v>
      </c>
      <c r="AE6" s="151"/>
      <c r="AF6" s="151"/>
      <c r="AG6" s="177" t="s">
        <v>13</v>
      </c>
      <c r="AH6" s="158" t="s">
        <v>14</v>
      </c>
      <c r="AI6" s="159"/>
      <c r="AJ6" s="159" t="s">
        <v>15</v>
      </c>
      <c r="AK6" s="159"/>
      <c r="AL6" s="160" t="s">
        <v>16</v>
      </c>
      <c r="AM6" s="160"/>
      <c r="AN6" s="160"/>
      <c r="AO6" s="161"/>
      <c r="AP6" s="150" t="s">
        <v>104</v>
      </c>
      <c r="AQ6" s="151"/>
      <c r="AR6" s="151"/>
      <c r="AS6" s="151" t="s">
        <v>11</v>
      </c>
      <c r="AT6" s="151" t="s">
        <v>12</v>
      </c>
      <c r="AU6" s="162" t="s">
        <v>13</v>
      </c>
      <c r="AV6" s="164" t="s">
        <v>14</v>
      </c>
      <c r="AW6" s="165"/>
      <c r="AX6" s="164" t="s">
        <v>15</v>
      </c>
      <c r="AY6" s="165"/>
      <c r="AZ6" s="174" t="s">
        <v>16</v>
      </c>
      <c r="BA6" s="175"/>
      <c r="BB6" s="175"/>
      <c r="BC6" s="176"/>
      <c r="BD6" s="156"/>
    </row>
    <row r="7" spans="1:56" s="25" customFormat="1" ht="21" customHeight="1" thickBot="1" x14ac:dyDescent="0.2">
      <c r="A7" s="146"/>
      <c r="B7" s="12" t="s">
        <v>17</v>
      </c>
      <c r="C7" s="13" t="s">
        <v>18</v>
      </c>
      <c r="D7" s="14" t="s">
        <v>19</v>
      </c>
      <c r="E7" s="152"/>
      <c r="F7" s="154"/>
      <c r="G7" s="152"/>
      <c r="H7" s="15" t="s">
        <v>20</v>
      </c>
      <c r="I7" s="15" t="s">
        <v>21</v>
      </c>
      <c r="J7" s="15" t="s">
        <v>20</v>
      </c>
      <c r="K7" s="15" t="s">
        <v>21</v>
      </c>
      <c r="L7" s="16" t="s">
        <v>22</v>
      </c>
      <c r="M7" s="16" t="s">
        <v>23</v>
      </c>
      <c r="N7" s="16" t="s">
        <v>24</v>
      </c>
      <c r="O7" s="17" t="s">
        <v>13</v>
      </c>
      <c r="P7" s="12" t="s">
        <v>17</v>
      </c>
      <c r="Q7" s="13" t="s">
        <v>18</v>
      </c>
      <c r="R7" s="14" t="s">
        <v>19</v>
      </c>
      <c r="S7" s="152"/>
      <c r="T7" s="154"/>
      <c r="U7" s="152"/>
      <c r="V7" s="15" t="s">
        <v>25</v>
      </c>
      <c r="W7" s="15" t="s">
        <v>21</v>
      </c>
      <c r="X7" s="15" t="s">
        <v>20</v>
      </c>
      <c r="Y7" s="15" t="s">
        <v>21</v>
      </c>
      <c r="Z7" s="16" t="s">
        <v>22</v>
      </c>
      <c r="AA7" s="16" t="s">
        <v>23</v>
      </c>
      <c r="AB7" s="16" t="s">
        <v>24</v>
      </c>
      <c r="AC7" s="17" t="s">
        <v>13</v>
      </c>
      <c r="AD7" s="12" t="s">
        <v>17</v>
      </c>
      <c r="AE7" s="13" t="s">
        <v>18</v>
      </c>
      <c r="AF7" s="14" t="s">
        <v>19</v>
      </c>
      <c r="AG7" s="178"/>
      <c r="AH7" s="19" t="s">
        <v>20</v>
      </c>
      <c r="AI7" s="15" t="s">
        <v>21</v>
      </c>
      <c r="AJ7" s="15" t="s">
        <v>20</v>
      </c>
      <c r="AK7" s="15" t="s">
        <v>21</v>
      </c>
      <c r="AL7" s="16" t="s">
        <v>22</v>
      </c>
      <c r="AM7" s="16" t="s">
        <v>23</v>
      </c>
      <c r="AN7" s="16" t="s">
        <v>24</v>
      </c>
      <c r="AO7" s="17" t="s">
        <v>13</v>
      </c>
      <c r="AP7" s="12" t="s">
        <v>17</v>
      </c>
      <c r="AQ7" s="13" t="s">
        <v>18</v>
      </c>
      <c r="AR7" s="14" t="s">
        <v>19</v>
      </c>
      <c r="AS7" s="152"/>
      <c r="AT7" s="152"/>
      <c r="AU7" s="163"/>
      <c r="AV7" s="20" t="s">
        <v>20</v>
      </c>
      <c r="AW7" s="21" t="s">
        <v>21</v>
      </c>
      <c r="AX7" s="20" t="s">
        <v>20</v>
      </c>
      <c r="AY7" s="21" t="s">
        <v>21</v>
      </c>
      <c r="AZ7" s="22" t="s">
        <v>22</v>
      </c>
      <c r="BA7" s="23" t="s">
        <v>23</v>
      </c>
      <c r="BB7" s="23" t="s">
        <v>24</v>
      </c>
      <c r="BC7" s="24" t="s">
        <v>13</v>
      </c>
      <c r="BD7" s="157"/>
    </row>
    <row r="8" spans="1:56" s="52" customFormat="1" ht="21.75" customHeight="1" x14ac:dyDescent="0.15">
      <c r="A8" s="26">
        <v>46082</v>
      </c>
      <c r="B8" s="27">
        <v>0</v>
      </c>
      <c r="C8" s="28">
        <v>0</v>
      </c>
      <c r="D8" s="29">
        <v>0</v>
      </c>
      <c r="E8" s="30">
        <v>0</v>
      </c>
      <c r="F8" s="31">
        <v>0</v>
      </c>
      <c r="G8" s="32">
        <f t="shared" ref="G8:G38" si="0">B8+E8+F8</f>
        <v>0</v>
      </c>
      <c r="H8" s="33">
        <v>0</v>
      </c>
      <c r="I8" s="34">
        <v>0</v>
      </c>
      <c r="J8" s="35">
        <v>0</v>
      </c>
      <c r="K8" s="36">
        <v>0</v>
      </c>
      <c r="L8" s="37">
        <v>0</v>
      </c>
      <c r="M8" s="38">
        <v>0</v>
      </c>
      <c r="N8" s="38">
        <v>0</v>
      </c>
      <c r="O8" s="39">
        <f t="shared" ref="O8:O38" si="1">SUM(L8:N8)</f>
        <v>0</v>
      </c>
      <c r="P8" s="40">
        <v>0</v>
      </c>
      <c r="Q8" s="28">
        <v>0</v>
      </c>
      <c r="R8" s="29">
        <v>0</v>
      </c>
      <c r="S8" s="30">
        <v>0</v>
      </c>
      <c r="T8" s="31">
        <v>0</v>
      </c>
      <c r="U8" s="32">
        <f t="shared" ref="U8:U38" si="2">P8+S8+T8</f>
        <v>0</v>
      </c>
      <c r="V8" s="33">
        <v>0</v>
      </c>
      <c r="W8" s="34">
        <v>0</v>
      </c>
      <c r="X8" s="35">
        <v>0</v>
      </c>
      <c r="Y8" s="36">
        <v>0</v>
      </c>
      <c r="Z8" s="37">
        <v>0</v>
      </c>
      <c r="AA8" s="38">
        <v>0</v>
      </c>
      <c r="AB8" s="38">
        <v>0</v>
      </c>
      <c r="AC8" s="39">
        <f t="shared" ref="AC8:AC38" si="3">SUM(Z8:AB8)</f>
        <v>0</v>
      </c>
      <c r="AD8" s="45">
        <v>0</v>
      </c>
      <c r="AE8" s="28">
        <v>0</v>
      </c>
      <c r="AF8" s="41">
        <v>0</v>
      </c>
      <c r="AG8" s="32">
        <f t="shared" ref="AG8:AG38" si="4">AD8</f>
        <v>0</v>
      </c>
      <c r="AH8" s="35">
        <v>0</v>
      </c>
      <c r="AI8" s="43">
        <v>0</v>
      </c>
      <c r="AJ8" s="35">
        <v>0</v>
      </c>
      <c r="AK8" s="43">
        <v>0</v>
      </c>
      <c r="AL8" s="44">
        <v>0</v>
      </c>
      <c r="AM8" s="38">
        <v>0</v>
      </c>
      <c r="AN8" s="38">
        <v>0</v>
      </c>
      <c r="AO8" s="39">
        <f t="shared" ref="AO8:AO38" si="5">SUM(AL8:AN8)</f>
        <v>0</v>
      </c>
      <c r="AP8" s="40">
        <f t="shared" ref="AP8:AP38" si="6">AD8+P8+B8</f>
        <v>0</v>
      </c>
      <c r="AQ8" s="28">
        <v>0</v>
      </c>
      <c r="AR8" s="41">
        <v>0</v>
      </c>
      <c r="AS8" s="30">
        <f t="shared" ref="AS8:AT23" si="7">E8+S8</f>
        <v>0</v>
      </c>
      <c r="AT8" s="30">
        <f t="shared" si="7"/>
        <v>0</v>
      </c>
      <c r="AU8" s="42">
        <f t="shared" ref="AU8:AU38" si="8">AP8+AS8+AT8</f>
        <v>0</v>
      </c>
      <c r="AV8" s="33">
        <f t="shared" ref="AV8:AY23" si="9">SUM(H8,V8,AH8)</f>
        <v>0</v>
      </c>
      <c r="AW8" s="46">
        <f t="shared" si="9"/>
        <v>0</v>
      </c>
      <c r="AX8" s="33">
        <f t="shared" si="9"/>
        <v>0</v>
      </c>
      <c r="AY8" s="46">
        <f t="shared" si="9"/>
        <v>0</v>
      </c>
      <c r="AZ8" s="48">
        <f t="shared" ref="AZ8:BB23" si="10">L8+Z8+AL8</f>
        <v>0</v>
      </c>
      <c r="BA8" s="49">
        <f t="shared" si="10"/>
        <v>0</v>
      </c>
      <c r="BB8" s="49">
        <f t="shared" si="10"/>
        <v>0</v>
      </c>
      <c r="BC8" s="50">
        <f t="shared" ref="BC8:BC38" si="11">SUM(AZ8:BB8)</f>
        <v>0</v>
      </c>
      <c r="BD8" s="51">
        <v>0</v>
      </c>
    </row>
    <row r="9" spans="1:56" s="52" customFormat="1" ht="21.75" customHeight="1" x14ac:dyDescent="0.15">
      <c r="A9" s="26">
        <v>46083</v>
      </c>
      <c r="B9" s="27">
        <v>155593</v>
      </c>
      <c r="C9" s="28">
        <v>0</v>
      </c>
      <c r="D9" s="29">
        <v>0</v>
      </c>
      <c r="E9" s="30">
        <v>0</v>
      </c>
      <c r="F9" s="31">
        <v>325800</v>
      </c>
      <c r="G9" s="32">
        <f t="shared" si="0"/>
        <v>481393</v>
      </c>
      <c r="H9" s="33">
        <v>0</v>
      </c>
      <c r="I9" s="34">
        <v>0</v>
      </c>
      <c r="J9" s="35">
        <v>0</v>
      </c>
      <c r="K9" s="36">
        <v>0</v>
      </c>
      <c r="L9" s="37">
        <v>143988</v>
      </c>
      <c r="M9" s="38">
        <v>11605</v>
      </c>
      <c r="N9" s="38">
        <v>0</v>
      </c>
      <c r="O9" s="39">
        <f t="shared" si="1"/>
        <v>155593</v>
      </c>
      <c r="P9" s="40">
        <v>123818</v>
      </c>
      <c r="Q9" s="28">
        <v>0</v>
      </c>
      <c r="R9" s="29">
        <v>0</v>
      </c>
      <c r="S9" s="30">
        <v>23458</v>
      </c>
      <c r="T9" s="31">
        <v>0</v>
      </c>
      <c r="U9" s="32">
        <f t="shared" si="2"/>
        <v>147276</v>
      </c>
      <c r="V9" s="33">
        <v>0</v>
      </c>
      <c r="W9" s="34">
        <v>0</v>
      </c>
      <c r="X9" s="35">
        <v>0</v>
      </c>
      <c r="Y9" s="36">
        <v>0</v>
      </c>
      <c r="Z9" s="37">
        <v>45260</v>
      </c>
      <c r="AA9" s="38">
        <v>78558</v>
      </c>
      <c r="AB9" s="38">
        <v>0</v>
      </c>
      <c r="AC9" s="39">
        <f t="shared" si="3"/>
        <v>123818</v>
      </c>
      <c r="AD9" s="45">
        <v>72661</v>
      </c>
      <c r="AE9" s="28">
        <v>0</v>
      </c>
      <c r="AF9" s="41">
        <v>0</v>
      </c>
      <c r="AG9" s="32">
        <f t="shared" si="4"/>
        <v>72661</v>
      </c>
      <c r="AH9" s="35">
        <v>0</v>
      </c>
      <c r="AI9" s="43">
        <v>0</v>
      </c>
      <c r="AJ9" s="35">
        <v>0</v>
      </c>
      <c r="AK9" s="43">
        <v>0</v>
      </c>
      <c r="AL9" s="44">
        <v>26276</v>
      </c>
      <c r="AM9" s="38">
        <v>31228</v>
      </c>
      <c r="AN9" s="38">
        <v>15157</v>
      </c>
      <c r="AO9" s="39">
        <f t="shared" si="5"/>
        <v>72661</v>
      </c>
      <c r="AP9" s="40">
        <f t="shared" si="6"/>
        <v>352072</v>
      </c>
      <c r="AQ9" s="28">
        <v>0</v>
      </c>
      <c r="AR9" s="41">
        <v>0</v>
      </c>
      <c r="AS9" s="30">
        <f t="shared" si="7"/>
        <v>23458</v>
      </c>
      <c r="AT9" s="30">
        <f t="shared" si="7"/>
        <v>325800</v>
      </c>
      <c r="AU9" s="42">
        <f t="shared" si="8"/>
        <v>701330</v>
      </c>
      <c r="AV9" s="33">
        <f t="shared" si="9"/>
        <v>0</v>
      </c>
      <c r="AW9" s="46">
        <f t="shared" si="9"/>
        <v>0</v>
      </c>
      <c r="AX9" s="33">
        <f t="shared" si="9"/>
        <v>0</v>
      </c>
      <c r="AY9" s="46">
        <f t="shared" si="9"/>
        <v>0</v>
      </c>
      <c r="AZ9" s="48">
        <f t="shared" si="10"/>
        <v>215524</v>
      </c>
      <c r="BA9" s="49">
        <f t="shared" si="10"/>
        <v>121391</v>
      </c>
      <c r="BB9" s="49">
        <f t="shared" si="10"/>
        <v>15157</v>
      </c>
      <c r="BC9" s="50">
        <f t="shared" si="11"/>
        <v>352072</v>
      </c>
      <c r="BD9" s="51">
        <v>0</v>
      </c>
    </row>
    <row r="10" spans="1:56" s="52" customFormat="1" ht="21.75" customHeight="1" x14ac:dyDescent="0.15">
      <c r="A10" s="53">
        <v>46084</v>
      </c>
      <c r="B10" s="27">
        <v>258510</v>
      </c>
      <c r="C10" s="28">
        <v>145000</v>
      </c>
      <c r="D10" s="29">
        <f>B10/C10</f>
        <v>1.7828275862068965</v>
      </c>
      <c r="E10" s="30">
        <v>29372</v>
      </c>
      <c r="F10" s="31">
        <v>213000</v>
      </c>
      <c r="G10" s="32">
        <f t="shared" si="0"/>
        <v>500882</v>
      </c>
      <c r="H10" s="33">
        <v>0</v>
      </c>
      <c r="I10" s="34">
        <v>0</v>
      </c>
      <c r="J10" s="35">
        <v>0</v>
      </c>
      <c r="K10" s="36">
        <v>0</v>
      </c>
      <c r="L10" s="37">
        <v>87382</v>
      </c>
      <c r="M10" s="38">
        <v>171128</v>
      </c>
      <c r="N10" s="38">
        <v>0</v>
      </c>
      <c r="O10" s="39">
        <f t="shared" si="1"/>
        <v>258510</v>
      </c>
      <c r="P10" s="40">
        <v>80574</v>
      </c>
      <c r="Q10" s="28">
        <v>70000</v>
      </c>
      <c r="R10" s="29">
        <f>P10/Q10</f>
        <v>1.1510571428571428</v>
      </c>
      <c r="S10" s="30">
        <v>6719</v>
      </c>
      <c r="T10" s="31">
        <v>0</v>
      </c>
      <c r="U10" s="32">
        <f t="shared" si="2"/>
        <v>87293</v>
      </c>
      <c r="V10" s="33">
        <v>0</v>
      </c>
      <c r="W10" s="34">
        <v>0</v>
      </c>
      <c r="X10" s="35">
        <v>0</v>
      </c>
      <c r="Y10" s="36">
        <v>0</v>
      </c>
      <c r="Z10" s="37">
        <v>68988</v>
      </c>
      <c r="AA10" s="38">
        <v>11586</v>
      </c>
      <c r="AB10" s="38">
        <v>0</v>
      </c>
      <c r="AC10" s="39">
        <f t="shared" si="3"/>
        <v>80574</v>
      </c>
      <c r="AD10" s="45">
        <v>0</v>
      </c>
      <c r="AE10" s="28">
        <v>200000</v>
      </c>
      <c r="AF10" s="41">
        <f>AD10/AE10</f>
        <v>0</v>
      </c>
      <c r="AG10" s="32">
        <f t="shared" si="4"/>
        <v>0</v>
      </c>
      <c r="AH10" s="35">
        <v>0</v>
      </c>
      <c r="AI10" s="43">
        <v>0</v>
      </c>
      <c r="AJ10" s="35">
        <v>0</v>
      </c>
      <c r="AK10" s="43">
        <v>0</v>
      </c>
      <c r="AL10" s="44">
        <v>0</v>
      </c>
      <c r="AM10" s="38">
        <v>0</v>
      </c>
      <c r="AN10" s="38">
        <v>0</v>
      </c>
      <c r="AO10" s="39">
        <f t="shared" si="5"/>
        <v>0</v>
      </c>
      <c r="AP10" s="40">
        <f t="shared" si="6"/>
        <v>339084</v>
      </c>
      <c r="AQ10" s="28">
        <v>415000</v>
      </c>
      <c r="AR10" s="41">
        <f>AP10/AQ10</f>
        <v>0.81706987951807231</v>
      </c>
      <c r="AS10" s="30">
        <f t="shared" si="7"/>
        <v>36091</v>
      </c>
      <c r="AT10" s="30">
        <f t="shared" si="7"/>
        <v>213000</v>
      </c>
      <c r="AU10" s="42">
        <f t="shared" si="8"/>
        <v>588175</v>
      </c>
      <c r="AV10" s="33">
        <f t="shared" si="9"/>
        <v>0</v>
      </c>
      <c r="AW10" s="46">
        <f t="shared" si="9"/>
        <v>0</v>
      </c>
      <c r="AX10" s="33">
        <f t="shared" si="9"/>
        <v>0</v>
      </c>
      <c r="AY10" s="46">
        <f t="shared" si="9"/>
        <v>0</v>
      </c>
      <c r="AZ10" s="48">
        <f t="shared" si="10"/>
        <v>156370</v>
      </c>
      <c r="BA10" s="49">
        <f t="shared" si="10"/>
        <v>182714</v>
      </c>
      <c r="BB10" s="49">
        <f t="shared" si="10"/>
        <v>0</v>
      </c>
      <c r="BC10" s="50">
        <f t="shared" si="11"/>
        <v>339084</v>
      </c>
      <c r="BD10" s="51">
        <v>0</v>
      </c>
    </row>
    <row r="11" spans="1:56" s="52" customFormat="1" ht="21.75" customHeight="1" x14ac:dyDescent="0.15">
      <c r="A11" s="53">
        <v>46085</v>
      </c>
      <c r="B11" s="27">
        <v>72784</v>
      </c>
      <c r="C11" s="28">
        <v>145000</v>
      </c>
      <c r="D11" s="29">
        <f>B11/C11</f>
        <v>0.50195862068965513</v>
      </c>
      <c r="E11" s="30">
        <v>185544</v>
      </c>
      <c r="F11" s="31">
        <v>29100</v>
      </c>
      <c r="G11" s="32">
        <f t="shared" si="0"/>
        <v>287428</v>
      </c>
      <c r="H11" s="33">
        <v>0</v>
      </c>
      <c r="I11" s="34">
        <v>0</v>
      </c>
      <c r="J11" s="35">
        <v>0</v>
      </c>
      <c r="K11" s="36">
        <v>0</v>
      </c>
      <c r="L11" s="37">
        <v>72784</v>
      </c>
      <c r="M11" s="38">
        <v>0</v>
      </c>
      <c r="N11" s="38">
        <v>0</v>
      </c>
      <c r="O11" s="39">
        <f t="shared" si="1"/>
        <v>72784</v>
      </c>
      <c r="P11" s="40">
        <v>88899</v>
      </c>
      <c r="Q11" s="28">
        <v>70000</v>
      </c>
      <c r="R11" s="29">
        <f>P11/Q11</f>
        <v>1.2699857142857143</v>
      </c>
      <c r="S11" s="30">
        <v>7422</v>
      </c>
      <c r="T11" s="31">
        <v>0</v>
      </c>
      <c r="U11" s="32">
        <f t="shared" si="2"/>
        <v>96321</v>
      </c>
      <c r="V11" s="33">
        <v>0</v>
      </c>
      <c r="W11" s="34">
        <v>0</v>
      </c>
      <c r="X11" s="35">
        <v>0</v>
      </c>
      <c r="Y11" s="36">
        <v>0</v>
      </c>
      <c r="Z11" s="37">
        <v>46338</v>
      </c>
      <c r="AA11" s="38">
        <v>42561</v>
      </c>
      <c r="AB11" s="38">
        <v>0</v>
      </c>
      <c r="AC11" s="39">
        <f t="shared" si="3"/>
        <v>88899</v>
      </c>
      <c r="AD11" s="45">
        <v>148303</v>
      </c>
      <c r="AE11" s="28">
        <v>200000</v>
      </c>
      <c r="AF11" s="41">
        <f>AD11/AE11</f>
        <v>0.74151500000000004</v>
      </c>
      <c r="AG11" s="32">
        <f t="shared" si="4"/>
        <v>148303</v>
      </c>
      <c r="AH11" s="35">
        <v>0</v>
      </c>
      <c r="AI11" s="43">
        <v>0</v>
      </c>
      <c r="AJ11" s="35">
        <v>2146</v>
      </c>
      <c r="AK11" s="43">
        <v>0</v>
      </c>
      <c r="AL11" s="44">
        <v>136413</v>
      </c>
      <c r="AM11" s="38">
        <v>11890</v>
      </c>
      <c r="AN11" s="38">
        <v>0</v>
      </c>
      <c r="AO11" s="39">
        <f t="shared" si="5"/>
        <v>148303</v>
      </c>
      <c r="AP11" s="40">
        <f t="shared" si="6"/>
        <v>309986</v>
      </c>
      <c r="AQ11" s="28">
        <v>415000</v>
      </c>
      <c r="AR11" s="41">
        <f>AP11/AQ11</f>
        <v>0.74695421686746988</v>
      </c>
      <c r="AS11" s="30">
        <f>E11+S11</f>
        <v>192966</v>
      </c>
      <c r="AT11" s="30">
        <f t="shared" si="7"/>
        <v>29100</v>
      </c>
      <c r="AU11" s="42">
        <f t="shared" si="8"/>
        <v>532052</v>
      </c>
      <c r="AV11" s="33">
        <f t="shared" si="9"/>
        <v>0</v>
      </c>
      <c r="AW11" s="46">
        <f t="shared" si="9"/>
        <v>0</v>
      </c>
      <c r="AX11" s="33">
        <f t="shared" si="9"/>
        <v>2146</v>
      </c>
      <c r="AY11" s="46">
        <f t="shared" si="9"/>
        <v>0</v>
      </c>
      <c r="AZ11" s="48">
        <f t="shared" si="10"/>
        <v>255535</v>
      </c>
      <c r="BA11" s="49">
        <f t="shared" si="10"/>
        <v>54451</v>
      </c>
      <c r="BB11" s="49">
        <f t="shared" si="10"/>
        <v>0</v>
      </c>
      <c r="BC11" s="50">
        <f t="shared" si="11"/>
        <v>309986</v>
      </c>
      <c r="BD11" s="51"/>
    </row>
    <row r="12" spans="1:56" s="52" customFormat="1" ht="21.75" customHeight="1" x14ac:dyDescent="0.15">
      <c r="A12" s="53">
        <v>46086</v>
      </c>
      <c r="B12" s="27">
        <v>227988</v>
      </c>
      <c r="C12" s="28">
        <v>145000</v>
      </c>
      <c r="D12" s="29">
        <f>B12/C12</f>
        <v>1.5723310344827586</v>
      </c>
      <c r="E12" s="30">
        <v>0</v>
      </c>
      <c r="F12" s="31">
        <v>100200</v>
      </c>
      <c r="G12" s="32">
        <f t="shared" si="0"/>
        <v>328188</v>
      </c>
      <c r="H12" s="33">
        <v>0</v>
      </c>
      <c r="I12" s="34">
        <v>0</v>
      </c>
      <c r="J12" s="35">
        <v>0</v>
      </c>
      <c r="K12" s="36">
        <v>0</v>
      </c>
      <c r="L12" s="37">
        <v>149178</v>
      </c>
      <c r="M12" s="38">
        <v>78810</v>
      </c>
      <c r="N12" s="38">
        <v>0</v>
      </c>
      <c r="O12" s="39">
        <f t="shared" si="1"/>
        <v>227988</v>
      </c>
      <c r="P12" s="40">
        <v>51147</v>
      </c>
      <c r="Q12" s="28">
        <v>70000</v>
      </c>
      <c r="R12" s="29">
        <f>P12/Q12</f>
        <v>0.73067142857142853</v>
      </c>
      <c r="S12" s="30">
        <v>10432</v>
      </c>
      <c r="T12" s="31">
        <v>0</v>
      </c>
      <c r="U12" s="32">
        <f t="shared" si="2"/>
        <v>61579</v>
      </c>
      <c r="V12" s="33">
        <v>0</v>
      </c>
      <c r="W12" s="34">
        <v>0</v>
      </c>
      <c r="X12" s="35">
        <v>8400</v>
      </c>
      <c r="Y12" s="36">
        <v>0</v>
      </c>
      <c r="Z12" s="37">
        <v>29673</v>
      </c>
      <c r="AA12" s="38">
        <v>0</v>
      </c>
      <c r="AB12" s="38">
        <v>21474</v>
      </c>
      <c r="AC12" s="39">
        <f t="shared" si="3"/>
        <v>51147</v>
      </c>
      <c r="AD12" s="45">
        <v>61092</v>
      </c>
      <c r="AE12" s="28">
        <v>200000</v>
      </c>
      <c r="AF12" s="41">
        <f>AD12/AE12</f>
        <v>0.30546000000000001</v>
      </c>
      <c r="AG12" s="32">
        <f t="shared" si="4"/>
        <v>61092</v>
      </c>
      <c r="AH12" s="35">
        <v>0</v>
      </c>
      <c r="AI12" s="43">
        <v>0</v>
      </c>
      <c r="AJ12" s="35">
        <v>0</v>
      </c>
      <c r="AK12" s="43">
        <v>0</v>
      </c>
      <c r="AL12" s="44">
        <v>7422</v>
      </c>
      <c r="AM12" s="38">
        <v>53670</v>
      </c>
      <c r="AN12" s="38">
        <v>0</v>
      </c>
      <c r="AO12" s="39">
        <f t="shared" si="5"/>
        <v>61092</v>
      </c>
      <c r="AP12" s="40">
        <f t="shared" si="6"/>
        <v>340227</v>
      </c>
      <c r="AQ12" s="28">
        <v>415000</v>
      </c>
      <c r="AR12" s="41">
        <f>AP12/AQ12</f>
        <v>0.81982409638554221</v>
      </c>
      <c r="AS12" s="30">
        <f>E12+S12</f>
        <v>10432</v>
      </c>
      <c r="AT12" s="30">
        <f t="shared" si="7"/>
        <v>100200</v>
      </c>
      <c r="AU12" s="42">
        <f t="shared" si="8"/>
        <v>450859</v>
      </c>
      <c r="AV12" s="33">
        <f t="shared" si="9"/>
        <v>0</v>
      </c>
      <c r="AW12" s="46">
        <f t="shared" si="9"/>
        <v>0</v>
      </c>
      <c r="AX12" s="33">
        <f t="shared" si="9"/>
        <v>8400</v>
      </c>
      <c r="AY12" s="47">
        <f t="shared" si="9"/>
        <v>0</v>
      </c>
      <c r="AZ12" s="48">
        <f t="shared" si="10"/>
        <v>186273</v>
      </c>
      <c r="BA12" s="49">
        <f t="shared" si="10"/>
        <v>132480</v>
      </c>
      <c r="BB12" s="49">
        <f t="shared" si="10"/>
        <v>21474</v>
      </c>
      <c r="BC12" s="50">
        <f t="shared" si="11"/>
        <v>340227</v>
      </c>
      <c r="BD12" s="51"/>
    </row>
    <row r="13" spans="1:56" s="52" customFormat="1" ht="21.75" customHeight="1" x14ac:dyDescent="0.15">
      <c r="A13" s="53">
        <v>46087</v>
      </c>
      <c r="B13" s="27">
        <v>104817</v>
      </c>
      <c r="C13" s="28">
        <v>145000</v>
      </c>
      <c r="D13" s="29">
        <f>B13/C13</f>
        <v>0.72287586206896548</v>
      </c>
      <c r="E13" s="30">
        <v>196552</v>
      </c>
      <c r="F13" s="31">
        <v>188250</v>
      </c>
      <c r="G13" s="32">
        <f t="shared" si="0"/>
        <v>489619</v>
      </c>
      <c r="H13" s="33">
        <v>0</v>
      </c>
      <c r="I13" s="34">
        <v>0</v>
      </c>
      <c r="J13" s="35">
        <v>0</v>
      </c>
      <c r="K13" s="36">
        <v>0</v>
      </c>
      <c r="L13" s="37">
        <v>41686</v>
      </c>
      <c r="M13" s="38">
        <v>63131</v>
      </c>
      <c r="N13" s="38">
        <v>0</v>
      </c>
      <c r="O13" s="39">
        <f t="shared" si="1"/>
        <v>104817</v>
      </c>
      <c r="P13" s="40">
        <v>45286</v>
      </c>
      <c r="Q13" s="28">
        <v>70000</v>
      </c>
      <c r="R13" s="29">
        <f>P13/Q13</f>
        <v>0.64694285714285715</v>
      </c>
      <c r="S13" s="30">
        <v>20961</v>
      </c>
      <c r="T13" s="31">
        <v>0</v>
      </c>
      <c r="U13" s="32">
        <f t="shared" si="2"/>
        <v>66247</v>
      </c>
      <c r="V13" s="33">
        <v>0</v>
      </c>
      <c r="W13" s="34">
        <v>0</v>
      </c>
      <c r="X13" s="35">
        <v>0</v>
      </c>
      <c r="Y13" s="36">
        <v>0</v>
      </c>
      <c r="Z13" s="37">
        <v>38614</v>
      </c>
      <c r="AA13" s="38">
        <v>6672</v>
      </c>
      <c r="AB13" s="38">
        <v>0</v>
      </c>
      <c r="AC13" s="39">
        <f t="shared" si="3"/>
        <v>45286</v>
      </c>
      <c r="AD13" s="45">
        <v>84093</v>
      </c>
      <c r="AE13" s="28">
        <v>200000</v>
      </c>
      <c r="AF13" s="41">
        <f>AD13/AE13</f>
        <v>0.42046499999999998</v>
      </c>
      <c r="AG13" s="32">
        <f t="shared" si="4"/>
        <v>84093</v>
      </c>
      <c r="AH13" s="35">
        <v>0</v>
      </c>
      <c r="AI13" s="43">
        <v>0</v>
      </c>
      <c r="AJ13" s="35">
        <v>0</v>
      </c>
      <c r="AK13" s="43">
        <v>55916</v>
      </c>
      <c r="AL13" s="44">
        <v>84093</v>
      </c>
      <c r="AM13" s="38">
        <v>0</v>
      </c>
      <c r="AN13" s="38">
        <v>0</v>
      </c>
      <c r="AO13" s="39">
        <f t="shared" si="5"/>
        <v>84093</v>
      </c>
      <c r="AP13" s="40">
        <f t="shared" si="6"/>
        <v>234196</v>
      </c>
      <c r="AQ13" s="28">
        <v>415000</v>
      </c>
      <c r="AR13" s="41">
        <f>AP13/AQ13</f>
        <v>0.56432771084337352</v>
      </c>
      <c r="AS13" s="30">
        <f>E13+S13</f>
        <v>217513</v>
      </c>
      <c r="AT13" s="30">
        <f t="shared" si="7"/>
        <v>188250</v>
      </c>
      <c r="AU13" s="42">
        <f t="shared" si="8"/>
        <v>639959</v>
      </c>
      <c r="AV13" s="33">
        <f t="shared" si="9"/>
        <v>0</v>
      </c>
      <c r="AW13" s="46">
        <f t="shared" si="9"/>
        <v>0</v>
      </c>
      <c r="AX13" s="33">
        <f t="shared" si="9"/>
        <v>0</v>
      </c>
      <c r="AY13" s="47">
        <f t="shared" si="9"/>
        <v>55916</v>
      </c>
      <c r="AZ13" s="48">
        <f t="shared" si="10"/>
        <v>164393</v>
      </c>
      <c r="BA13" s="49">
        <f t="shared" si="10"/>
        <v>69803</v>
      </c>
      <c r="BB13" s="49">
        <f t="shared" si="10"/>
        <v>0</v>
      </c>
      <c r="BC13" s="50">
        <f t="shared" si="11"/>
        <v>234196</v>
      </c>
      <c r="BD13" s="51"/>
    </row>
    <row r="14" spans="1:56" s="52" customFormat="1" ht="21.75" customHeight="1" x14ac:dyDescent="0.15">
      <c r="A14" s="26">
        <v>46088</v>
      </c>
      <c r="B14" s="27">
        <v>0</v>
      </c>
      <c r="C14" s="28">
        <v>0</v>
      </c>
      <c r="D14" s="29">
        <v>0</v>
      </c>
      <c r="E14" s="30">
        <v>0</v>
      </c>
      <c r="F14" s="31">
        <v>0</v>
      </c>
      <c r="G14" s="32">
        <f t="shared" si="0"/>
        <v>0</v>
      </c>
      <c r="H14" s="33">
        <v>0</v>
      </c>
      <c r="I14" s="34">
        <v>0</v>
      </c>
      <c r="J14" s="35">
        <v>0</v>
      </c>
      <c r="K14" s="36">
        <v>0</v>
      </c>
      <c r="L14" s="37">
        <v>0</v>
      </c>
      <c r="M14" s="38">
        <v>0</v>
      </c>
      <c r="N14" s="38">
        <v>0</v>
      </c>
      <c r="O14" s="39">
        <f t="shared" si="1"/>
        <v>0</v>
      </c>
      <c r="P14" s="40">
        <v>0</v>
      </c>
      <c r="Q14" s="28">
        <v>0</v>
      </c>
      <c r="R14" s="29">
        <v>0</v>
      </c>
      <c r="S14" s="30">
        <v>0</v>
      </c>
      <c r="T14" s="31">
        <v>0</v>
      </c>
      <c r="U14" s="32">
        <f t="shared" si="2"/>
        <v>0</v>
      </c>
      <c r="V14" s="33">
        <v>0</v>
      </c>
      <c r="W14" s="34">
        <v>0</v>
      </c>
      <c r="X14" s="35">
        <v>0</v>
      </c>
      <c r="Y14" s="36">
        <v>0</v>
      </c>
      <c r="Z14" s="37">
        <v>0</v>
      </c>
      <c r="AA14" s="38">
        <v>0</v>
      </c>
      <c r="AB14" s="38">
        <v>0</v>
      </c>
      <c r="AC14" s="39">
        <f t="shared" si="3"/>
        <v>0</v>
      </c>
      <c r="AD14" s="45">
        <v>0</v>
      </c>
      <c r="AE14" s="28">
        <v>0</v>
      </c>
      <c r="AF14" s="41">
        <v>0</v>
      </c>
      <c r="AG14" s="32">
        <f t="shared" si="4"/>
        <v>0</v>
      </c>
      <c r="AH14" s="35">
        <v>0</v>
      </c>
      <c r="AI14" s="43">
        <v>0</v>
      </c>
      <c r="AJ14" s="35">
        <v>0</v>
      </c>
      <c r="AK14" s="43">
        <v>0</v>
      </c>
      <c r="AL14" s="44">
        <v>0</v>
      </c>
      <c r="AM14" s="38">
        <v>0</v>
      </c>
      <c r="AN14" s="38">
        <v>0</v>
      </c>
      <c r="AO14" s="39">
        <f t="shared" si="5"/>
        <v>0</v>
      </c>
      <c r="AP14" s="40">
        <f t="shared" si="6"/>
        <v>0</v>
      </c>
      <c r="AQ14" s="28">
        <v>0</v>
      </c>
      <c r="AR14" s="41">
        <v>0</v>
      </c>
      <c r="AS14" s="30">
        <f t="shared" ref="AS14:AT29" si="12">E14+S14</f>
        <v>0</v>
      </c>
      <c r="AT14" s="30">
        <f t="shared" si="7"/>
        <v>0</v>
      </c>
      <c r="AU14" s="42">
        <f t="shared" si="8"/>
        <v>0</v>
      </c>
      <c r="AV14" s="33">
        <f t="shared" si="9"/>
        <v>0</v>
      </c>
      <c r="AW14" s="46">
        <f t="shared" si="9"/>
        <v>0</v>
      </c>
      <c r="AX14" s="33">
        <f t="shared" si="9"/>
        <v>0</v>
      </c>
      <c r="AY14" s="46">
        <f t="shared" si="9"/>
        <v>0</v>
      </c>
      <c r="AZ14" s="48">
        <f t="shared" si="10"/>
        <v>0</v>
      </c>
      <c r="BA14" s="49">
        <f t="shared" si="10"/>
        <v>0</v>
      </c>
      <c r="BB14" s="49">
        <f t="shared" si="10"/>
        <v>0</v>
      </c>
      <c r="BC14" s="50">
        <f t="shared" si="11"/>
        <v>0</v>
      </c>
      <c r="BD14" s="51">
        <v>0</v>
      </c>
    </row>
    <row r="15" spans="1:56" s="52" customFormat="1" ht="21.75" customHeight="1" x14ac:dyDescent="0.15">
      <c r="A15" s="26">
        <v>46089</v>
      </c>
      <c r="B15" s="27">
        <v>0</v>
      </c>
      <c r="C15" s="28">
        <v>0</v>
      </c>
      <c r="D15" s="29">
        <v>0</v>
      </c>
      <c r="E15" s="30">
        <v>0</v>
      </c>
      <c r="F15" s="31">
        <v>0</v>
      </c>
      <c r="G15" s="32">
        <f t="shared" si="0"/>
        <v>0</v>
      </c>
      <c r="H15" s="33">
        <v>0</v>
      </c>
      <c r="I15" s="34">
        <v>0</v>
      </c>
      <c r="J15" s="35">
        <v>0</v>
      </c>
      <c r="K15" s="36">
        <v>0</v>
      </c>
      <c r="L15" s="37">
        <v>0</v>
      </c>
      <c r="M15" s="38">
        <v>0</v>
      </c>
      <c r="N15" s="38">
        <v>0</v>
      </c>
      <c r="O15" s="39">
        <f t="shared" si="1"/>
        <v>0</v>
      </c>
      <c r="P15" s="40">
        <v>0</v>
      </c>
      <c r="Q15" s="28">
        <v>0</v>
      </c>
      <c r="R15" s="29">
        <v>0</v>
      </c>
      <c r="S15" s="30">
        <v>0</v>
      </c>
      <c r="T15" s="31">
        <v>0</v>
      </c>
      <c r="U15" s="32">
        <f t="shared" si="2"/>
        <v>0</v>
      </c>
      <c r="V15" s="33">
        <v>0</v>
      </c>
      <c r="W15" s="34">
        <v>0</v>
      </c>
      <c r="X15" s="35">
        <v>0</v>
      </c>
      <c r="Y15" s="36">
        <v>0</v>
      </c>
      <c r="Z15" s="37">
        <v>0</v>
      </c>
      <c r="AA15" s="38">
        <v>0</v>
      </c>
      <c r="AB15" s="38">
        <v>0</v>
      </c>
      <c r="AC15" s="39">
        <f t="shared" si="3"/>
        <v>0</v>
      </c>
      <c r="AD15" s="45">
        <v>0</v>
      </c>
      <c r="AE15" s="28">
        <v>0</v>
      </c>
      <c r="AF15" s="41">
        <v>0</v>
      </c>
      <c r="AG15" s="32">
        <f t="shared" si="4"/>
        <v>0</v>
      </c>
      <c r="AH15" s="35">
        <v>0</v>
      </c>
      <c r="AI15" s="43">
        <v>0</v>
      </c>
      <c r="AJ15" s="35">
        <v>0</v>
      </c>
      <c r="AK15" s="43">
        <v>0</v>
      </c>
      <c r="AL15" s="44">
        <v>0</v>
      </c>
      <c r="AM15" s="38">
        <v>0</v>
      </c>
      <c r="AN15" s="38">
        <v>0</v>
      </c>
      <c r="AO15" s="39">
        <f t="shared" si="5"/>
        <v>0</v>
      </c>
      <c r="AP15" s="40">
        <f t="shared" si="6"/>
        <v>0</v>
      </c>
      <c r="AQ15" s="28">
        <v>0</v>
      </c>
      <c r="AR15" s="41">
        <v>0</v>
      </c>
      <c r="AS15" s="30">
        <f t="shared" si="12"/>
        <v>0</v>
      </c>
      <c r="AT15" s="30">
        <f t="shared" si="7"/>
        <v>0</v>
      </c>
      <c r="AU15" s="42">
        <f t="shared" si="8"/>
        <v>0</v>
      </c>
      <c r="AV15" s="33">
        <f t="shared" si="9"/>
        <v>0</v>
      </c>
      <c r="AW15" s="46">
        <f t="shared" si="9"/>
        <v>0</v>
      </c>
      <c r="AX15" s="33">
        <f t="shared" si="9"/>
        <v>0</v>
      </c>
      <c r="AY15" s="46">
        <f t="shared" si="9"/>
        <v>0</v>
      </c>
      <c r="AZ15" s="48">
        <f t="shared" si="10"/>
        <v>0</v>
      </c>
      <c r="BA15" s="49">
        <f t="shared" si="10"/>
        <v>0</v>
      </c>
      <c r="BB15" s="49">
        <f t="shared" si="10"/>
        <v>0</v>
      </c>
      <c r="BC15" s="50">
        <f t="shared" si="11"/>
        <v>0</v>
      </c>
      <c r="BD15" s="51">
        <v>0</v>
      </c>
    </row>
    <row r="16" spans="1:56" s="52" customFormat="1" ht="21.75" customHeight="1" x14ac:dyDescent="0.15">
      <c r="A16" s="53">
        <v>46090</v>
      </c>
      <c r="B16" s="27">
        <v>232761</v>
      </c>
      <c r="C16" s="28">
        <v>145000</v>
      </c>
      <c r="D16" s="29">
        <f>B16/C16</f>
        <v>1.605248275862069</v>
      </c>
      <c r="E16" s="30">
        <v>0</v>
      </c>
      <c r="F16" s="31">
        <v>99787</v>
      </c>
      <c r="G16" s="32">
        <f t="shared" si="0"/>
        <v>332548</v>
      </c>
      <c r="H16" s="33">
        <v>0</v>
      </c>
      <c r="I16" s="34">
        <v>0</v>
      </c>
      <c r="J16" s="35">
        <v>0</v>
      </c>
      <c r="K16" s="36">
        <v>0</v>
      </c>
      <c r="L16" s="37">
        <v>232761</v>
      </c>
      <c r="M16" s="38">
        <v>0</v>
      </c>
      <c r="N16" s="38">
        <v>0</v>
      </c>
      <c r="O16" s="39">
        <f t="shared" si="1"/>
        <v>232761</v>
      </c>
      <c r="P16" s="40">
        <v>78985</v>
      </c>
      <c r="Q16" s="28">
        <v>70000</v>
      </c>
      <c r="R16" s="29">
        <f>P16/Q16</f>
        <v>1.1283571428571428</v>
      </c>
      <c r="S16" s="30">
        <v>6320</v>
      </c>
      <c r="T16" s="31">
        <v>0</v>
      </c>
      <c r="U16" s="32">
        <f t="shared" si="2"/>
        <v>85305</v>
      </c>
      <c r="V16" s="33">
        <v>0</v>
      </c>
      <c r="W16" s="34">
        <v>0</v>
      </c>
      <c r="X16" s="35">
        <v>0</v>
      </c>
      <c r="Y16" s="36">
        <v>6006</v>
      </c>
      <c r="Z16" s="37">
        <v>78985</v>
      </c>
      <c r="AA16" s="38">
        <v>0</v>
      </c>
      <c r="AB16" s="38">
        <v>0</v>
      </c>
      <c r="AC16" s="39">
        <f t="shared" si="3"/>
        <v>78985</v>
      </c>
      <c r="AD16" s="45">
        <v>163514</v>
      </c>
      <c r="AE16" s="28">
        <v>200000</v>
      </c>
      <c r="AF16" s="41">
        <f>AD16/AE16</f>
        <v>0.81757000000000002</v>
      </c>
      <c r="AG16" s="32">
        <f t="shared" si="4"/>
        <v>163514</v>
      </c>
      <c r="AH16" s="35">
        <v>0</v>
      </c>
      <c r="AI16" s="43">
        <v>0</v>
      </c>
      <c r="AJ16" s="35">
        <v>0</v>
      </c>
      <c r="AK16" s="43">
        <v>0</v>
      </c>
      <c r="AL16" s="44">
        <v>119984</v>
      </c>
      <c r="AM16" s="38">
        <v>13436</v>
      </c>
      <c r="AN16" s="38">
        <v>30094</v>
      </c>
      <c r="AO16" s="39">
        <f t="shared" si="5"/>
        <v>163514</v>
      </c>
      <c r="AP16" s="40">
        <f t="shared" si="6"/>
        <v>475260</v>
      </c>
      <c r="AQ16" s="28">
        <v>415000</v>
      </c>
      <c r="AR16" s="41">
        <f>AP16/AQ16</f>
        <v>1.1452048192771085</v>
      </c>
      <c r="AS16" s="30">
        <f t="shared" si="12"/>
        <v>6320</v>
      </c>
      <c r="AT16" s="30">
        <f t="shared" si="7"/>
        <v>99787</v>
      </c>
      <c r="AU16" s="42">
        <f t="shared" si="8"/>
        <v>581367</v>
      </c>
      <c r="AV16" s="33">
        <f t="shared" si="9"/>
        <v>0</v>
      </c>
      <c r="AW16" s="46">
        <f t="shared" si="9"/>
        <v>0</v>
      </c>
      <c r="AX16" s="33">
        <f t="shared" si="9"/>
        <v>0</v>
      </c>
      <c r="AY16" s="47">
        <f t="shared" si="9"/>
        <v>6006</v>
      </c>
      <c r="AZ16" s="48">
        <f t="shared" si="10"/>
        <v>431730</v>
      </c>
      <c r="BA16" s="49">
        <f t="shared" si="10"/>
        <v>13436</v>
      </c>
      <c r="BB16" s="49">
        <f t="shared" si="10"/>
        <v>30094</v>
      </c>
      <c r="BC16" s="50">
        <f t="shared" si="11"/>
        <v>475260</v>
      </c>
      <c r="BD16" s="51"/>
    </row>
    <row r="17" spans="1:56" s="52" customFormat="1" ht="21.75" customHeight="1" x14ac:dyDescent="0.15">
      <c r="A17" s="53">
        <v>46091</v>
      </c>
      <c r="B17" s="27">
        <v>195493</v>
      </c>
      <c r="C17" s="28">
        <v>145000</v>
      </c>
      <c r="D17" s="29">
        <f>B17/C17</f>
        <v>1.3482275862068966</v>
      </c>
      <c r="E17" s="30">
        <v>93968</v>
      </c>
      <c r="F17" s="31">
        <v>137800</v>
      </c>
      <c r="G17" s="32">
        <f t="shared" si="0"/>
        <v>427261</v>
      </c>
      <c r="H17" s="33">
        <v>0</v>
      </c>
      <c r="I17" s="34">
        <v>0</v>
      </c>
      <c r="J17" s="35">
        <v>46600</v>
      </c>
      <c r="K17" s="36">
        <v>0</v>
      </c>
      <c r="L17" s="37">
        <v>195493</v>
      </c>
      <c r="M17" s="38">
        <v>0</v>
      </c>
      <c r="N17" s="38">
        <v>0</v>
      </c>
      <c r="O17" s="39">
        <f t="shared" si="1"/>
        <v>195493</v>
      </c>
      <c r="P17" s="40">
        <v>73613</v>
      </c>
      <c r="Q17" s="28">
        <v>70000</v>
      </c>
      <c r="R17" s="29">
        <f>P17/Q17</f>
        <v>1.0516142857142856</v>
      </c>
      <c r="S17" s="30">
        <v>0</v>
      </c>
      <c r="T17" s="31">
        <v>0</v>
      </c>
      <c r="U17" s="32">
        <f t="shared" si="2"/>
        <v>73613</v>
      </c>
      <c r="V17" s="33">
        <v>0</v>
      </c>
      <c r="W17" s="34">
        <v>0</v>
      </c>
      <c r="X17" s="35">
        <v>0</v>
      </c>
      <c r="Y17" s="36">
        <v>0</v>
      </c>
      <c r="Z17" s="37">
        <v>73613</v>
      </c>
      <c r="AA17" s="38">
        <v>0</v>
      </c>
      <c r="AB17" s="38">
        <v>0</v>
      </c>
      <c r="AC17" s="39">
        <f t="shared" si="3"/>
        <v>73613</v>
      </c>
      <c r="AD17" s="45">
        <v>46984</v>
      </c>
      <c r="AE17" s="28">
        <v>200000</v>
      </c>
      <c r="AF17" s="41">
        <f>AD17/AE17</f>
        <v>0.23491999999999999</v>
      </c>
      <c r="AG17" s="32">
        <f t="shared" si="4"/>
        <v>46984</v>
      </c>
      <c r="AH17" s="35">
        <v>0</v>
      </c>
      <c r="AI17" s="43">
        <v>0</v>
      </c>
      <c r="AJ17" s="35">
        <v>0</v>
      </c>
      <c r="AK17" s="43">
        <v>0</v>
      </c>
      <c r="AL17" s="44">
        <v>46984</v>
      </c>
      <c r="AM17" s="38">
        <v>0</v>
      </c>
      <c r="AN17" s="38">
        <v>0</v>
      </c>
      <c r="AO17" s="39">
        <f t="shared" si="5"/>
        <v>46984</v>
      </c>
      <c r="AP17" s="40">
        <f t="shared" si="6"/>
        <v>316090</v>
      </c>
      <c r="AQ17" s="28">
        <v>415000</v>
      </c>
      <c r="AR17" s="41">
        <f>AP17/AQ17</f>
        <v>0.76166265060240967</v>
      </c>
      <c r="AS17" s="30">
        <f t="shared" si="12"/>
        <v>93968</v>
      </c>
      <c r="AT17" s="30">
        <f t="shared" si="7"/>
        <v>137800</v>
      </c>
      <c r="AU17" s="42">
        <f t="shared" si="8"/>
        <v>547858</v>
      </c>
      <c r="AV17" s="33">
        <f t="shared" si="9"/>
        <v>0</v>
      </c>
      <c r="AW17" s="46">
        <f t="shared" si="9"/>
        <v>0</v>
      </c>
      <c r="AX17" s="33">
        <f t="shared" si="9"/>
        <v>46600</v>
      </c>
      <c r="AY17" s="46">
        <f t="shared" si="9"/>
        <v>0</v>
      </c>
      <c r="AZ17" s="48">
        <f t="shared" si="10"/>
        <v>316090</v>
      </c>
      <c r="BA17" s="49">
        <f t="shared" si="10"/>
        <v>0</v>
      </c>
      <c r="BB17" s="49">
        <f t="shared" si="10"/>
        <v>0</v>
      </c>
      <c r="BC17" s="50">
        <f t="shared" si="11"/>
        <v>316090</v>
      </c>
      <c r="BD17" s="51"/>
    </row>
    <row r="18" spans="1:56" s="52" customFormat="1" ht="21.75" customHeight="1" x14ac:dyDescent="0.15">
      <c r="A18" s="53">
        <v>46092</v>
      </c>
      <c r="B18" s="27">
        <v>99558</v>
      </c>
      <c r="C18" s="28">
        <v>145000</v>
      </c>
      <c r="D18" s="29">
        <f>B18/C18</f>
        <v>0.68660689655172413</v>
      </c>
      <c r="E18" s="30">
        <v>352932</v>
      </c>
      <c r="F18" s="31">
        <v>50100</v>
      </c>
      <c r="G18" s="32">
        <f t="shared" si="0"/>
        <v>502590</v>
      </c>
      <c r="H18" s="33">
        <v>0</v>
      </c>
      <c r="I18" s="34">
        <v>0</v>
      </c>
      <c r="J18" s="35">
        <v>0</v>
      </c>
      <c r="K18" s="36">
        <v>0</v>
      </c>
      <c r="L18" s="37">
        <v>99558</v>
      </c>
      <c r="M18" s="38">
        <v>0</v>
      </c>
      <c r="N18" s="38">
        <v>0</v>
      </c>
      <c r="O18" s="39">
        <f t="shared" si="1"/>
        <v>99558</v>
      </c>
      <c r="P18" s="40">
        <v>101429</v>
      </c>
      <c r="Q18" s="28">
        <v>70000</v>
      </c>
      <c r="R18" s="29">
        <f>P18/Q18</f>
        <v>1.4489857142857143</v>
      </c>
      <c r="S18" s="30">
        <v>0</v>
      </c>
      <c r="T18" s="31">
        <v>0</v>
      </c>
      <c r="U18" s="32">
        <f t="shared" si="2"/>
        <v>101429</v>
      </c>
      <c r="V18" s="33">
        <v>0</v>
      </c>
      <c r="W18" s="34">
        <v>0</v>
      </c>
      <c r="X18" s="35">
        <v>0</v>
      </c>
      <c r="Y18" s="36">
        <v>0</v>
      </c>
      <c r="Z18" s="37">
        <v>30030</v>
      </c>
      <c r="AA18" s="38">
        <v>0</v>
      </c>
      <c r="AB18" s="38">
        <v>71399</v>
      </c>
      <c r="AC18" s="39">
        <f t="shared" si="3"/>
        <v>101429</v>
      </c>
      <c r="AD18" s="45">
        <v>226260</v>
      </c>
      <c r="AE18" s="28">
        <v>200000</v>
      </c>
      <c r="AF18" s="41">
        <f>AD18/AE18</f>
        <v>1.1313</v>
      </c>
      <c r="AG18" s="32">
        <f t="shared" si="4"/>
        <v>226260</v>
      </c>
      <c r="AH18" s="35">
        <v>0</v>
      </c>
      <c r="AI18" s="43">
        <v>0</v>
      </c>
      <c r="AJ18" s="35">
        <v>0</v>
      </c>
      <c r="AK18" s="43">
        <v>0</v>
      </c>
      <c r="AL18" s="44">
        <v>226260</v>
      </c>
      <c r="AM18" s="38">
        <v>0</v>
      </c>
      <c r="AN18" s="38">
        <v>0</v>
      </c>
      <c r="AO18" s="39">
        <f t="shared" si="5"/>
        <v>226260</v>
      </c>
      <c r="AP18" s="40">
        <f t="shared" si="6"/>
        <v>427247</v>
      </c>
      <c r="AQ18" s="28">
        <v>415000</v>
      </c>
      <c r="AR18" s="41">
        <f>AP18/AQ18</f>
        <v>1.0295108433734941</v>
      </c>
      <c r="AS18" s="30">
        <f t="shared" si="12"/>
        <v>352932</v>
      </c>
      <c r="AT18" s="30">
        <f t="shared" si="7"/>
        <v>50100</v>
      </c>
      <c r="AU18" s="42">
        <f t="shared" si="8"/>
        <v>830279</v>
      </c>
      <c r="AV18" s="33">
        <f t="shared" si="9"/>
        <v>0</v>
      </c>
      <c r="AW18" s="46">
        <f t="shared" si="9"/>
        <v>0</v>
      </c>
      <c r="AX18" s="33">
        <f t="shared" si="9"/>
        <v>0</v>
      </c>
      <c r="AY18" s="46">
        <f t="shared" si="9"/>
        <v>0</v>
      </c>
      <c r="AZ18" s="48">
        <f t="shared" si="10"/>
        <v>355848</v>
      </c>
      <c r="BA18" s="49">
        <f t="shared" si="10"/>
        <v>0</v>
      </c>
      <c r="BB18" s="49">
        <f t="shared" si="10"/>
        <v>71399</v>
      </c>
      <c r="BC18" s="50">
        <f t="shared" si="11"/>
        <v>427247</v>
      </c>
      <c r="BD18" s="51"/>
    </row>
    <row r="19" spans="1:56" s="52" customFormat="1" ht="21.75" customHeight="1" x14ac:dyDescent="0.15">
      <c r="A19" s="53">
        <v>46093</v>
      </c>
      <c r="B19" s="27">
        <v>113806</v>
      </c>
      <c r="C19" s="28">
        <v>145000</v>
      </c>
      <c r="D19" s="29">
        <f>B19/C19</f>
        <v>0.78486896551724139</v>
      </c>
      <c r="E19" s="30">
        <v>179976</v>
      </c>
      <c r="F19" s="31">
        <v>133826</v>
      </c>
      <c r="G19" s="32">
        <f t="shared" si="0"/>
        <v>427608</v>
      </c>
      <c r="H19" s="33">
        <v>0</v>
      </c>
      <c r="I19" s="34">
        <v>0</v>
      </c>
      <c r="J19" s="35">
        <v>0</v>
      </c>
      <c r="K19" s="36">
        <v>0</v>
      </c>
      <c r="L19" s="37">
        <v>51904</v>
      </c>
      <c r="M19" s="38">
        <v>39908</v>
      </c>
      <c r="N19" s="38">
        <v>21994</v>
      </c>
      <c r="O19" s="39">
        <f t="shared" si="1"/>
        <v>113806</v>
      </c>
      <c r="P19" s="40">
        <v>105668</v>
      </c>
      <c r="Q19" s="28">
        <v>70000</v>
      </c>
      <c r="R19" s="29">
        <f>P19/Q19</f>
        <v>1.5095428571428571</v>
      </c>
      <c r="S19" s="30">
        <v>0</v>
      </c>
      <c r="T19" s="31">
        <v>0</v>
      </c>
      <c r="U19" s="32">
        <f t="shared" si="2"/>
        <v>105668</v>
      </c>
      <c r="V19" s="33">
        <v>0</v>
      </c>
      <c r="W19" s="34">
        <v>0</v>
      </c>
      <c r="X19" s="35">
        <v>0</v>
      </c>
      <c r="Y19" s="36">
        <v>0</v>
      </c>
      <c r="Z19" s="37">
        <v>96073</v>
      </c>
      <c r="AA19" s="38">
        <v>9595</v>
      </c>
      <c r="AB19" s="38">
        <v>0</v>
      </c>
      <c r="AC19" s="39">
        <f t="shared" si="3"/>
        <v>105668</v>
      </c>
      <c r="AD19" s="45">
        <v>269964</v>
      </c>
      <c r="AE19" s="28">
        <v>200000</v>
      </c>
      <c r="AF19" s="41">
        <f>AD19/AE19</f>
        <v>1.34982</v>
      </c>
      <c r="AG19" s="32">
        <f t="shared" si="4"/>
        <v>269964</v>
      </c>
      <c r="AH19" s="35">
        <v>0</v>
      </c>
      <c r="AI19" s="43">
        <v>0</v>
      </c>
      <c r="AJ19" s="35">
        <v>0</v>
      </c>
      <c r="AK19" s="43">
        <v>0</v>
      </c>
      <c r="AL19" s="44">
        <v>269964</v>
      </c>
      <c r="AM19" s="38">
        <v>0</v>
      </c>
      <c r="AN19" s="38">
        <v>0</v>
      </c>
      <c r="AO19" s="39">
        <f t="shared" si="5"/>
        <v>269964</v>
      </c>
      <c r="AP19" s="40">
        <f t="shared" si="6"/>
        <v>489438</v>
      </c>
      <c r="AQ19" s="28">
        <v>415000</v>
      </c>
      <c r="AR19" s="41">
        <f>AP19/AQ19</f>
        <v>1.1793686746987952</v>
      </c>
      <c r="AS19" s="30">
        <f t="shared" si="12"/>
        <v>179976</v>
      </c>
      <c r="AT19" s="30">
        <f t="shared" si="7"/>
        <v>133826</v>
      </c>
      <c r="AU19" s="42">
        <f t="shared" si="8"/>
        <v>803240</v>
      </c>
      <c r="AV19" s="33">
        <f t="shared" si="9"/>
        <v>0</v>
      </c>
      <c r="AW19" s="46">
        <f t="shared" si="9"/>
        <v>0</v>
      </c>
      <c r="AX19" s="33">
        <f t="shared" si="9"/>
        <v>0</v>
      </c>
      <c r="AY19" s="47">
        <f t="shared" si="9"/>
        <v>0</v>
      </c>
      <c r="AZ19" s="48">
        <f t="shared" si="10"/>
        <v>417941</v>
      </c>
      <c r="BA19" s="49">
        <f t="shared" si="10"/>
        <v>49503</v>
      </c>
      <c r="BB19" s="49">
        <f t="shared" si="10"/>
        <v>21994</v>
      </c>
      <c r="BC19" s="50">
        <f t="shared" si="11"/>
        <v>489438</v>
      </c>
      <c r="BD19" s="51"/>
    </row>
    <row r="20" spans="1:56" s="52" customFormat="1" ht="21.75" customHeight="1" x14ac:dyDescent="0.15">
      <c r="A20" s="53">
        <v>46094</v>
      </c>
      <c r="B20" s="27">
        <v>89199</v>
      </c>
      <c r="C20" s="28">
        <v>145000</v>
      </c>
      <c r="D20" s="29">
        <f>B20/C20</f>
        <v>0.61516551724137936</v>
      </c>
      <c r="E20" s="30">
        <v>342142</v>
      </c>
      <c r="F20" s="31">
        <v>165900</v>
      </c>
      <c r="G20" s="32">
        <f t="shared" si="0"/>
        <v>597241</v>
      </c>
      <c r="H20" s="33">
        <v>0</v>
      </c>
      <c r="I20" s="34">
        <v>0</v>
      </c>
      <c r="J20" s="35">
        <v>0</v>
      </c>
      <c r="K20" s="36">
        <v>0</v>
      </c>
      <c r="L20" s="37">
        <v>76496</v>
      </c>
      <c r="M20" s="38">
        <v>12703</v>
      </c>
      <c r="N20" s="38">
        <v>0</v>
      </c>
      <c r="O20" s="39">
        <f t="shared" si="1"/>
        <v>89199</v>
      </c>
      <c r="P20" s="40">
        <v>71532</v>
      </c>
      <c r="Q20" s="28">
        <v>70000</v>
      </c>
      <c r="R20" s="29">
        <f>P20/Q20</f>
        <v>1.0218857142857143</v>
      </c>
      <c r="S20" s="30">
        <v>9330</v>
      </c>
      <c r="T20" s="31">
        <v>0</v>
      </c>
      <c r="U20" s="32">
        <f t="shared" si="2"/>
        <v>80862</v>
      </c>
      <c r="V20" s="33">
        <v>0</v>
      </c>
      <c r="W20" s="34">
        <v>0</v>
      </c>
      <c r="X20" s="35">
        <v>0</v>
      </c>
      <c r="Y20" s="36">
        <v>0</v>
      </c>
      <c r="Z20" s="37">
        <v>20940</v>
      </c>
      <c r="AA20" s="38">
        <v>12738</v>
      </c>
      <c r="AB20" s="38">
        <v>37854</v>
      </c>
      <c r="AC20" s="39">
        <f t="shared" si="3"/>
        <v>71532</v>
      </c>
      <c r="AD20" s="45">
        <v>89988</v>
      </c>
      <c r="AE20" s="28">
        <v>200000</v>
      </c>
      <c r="AF20" s="41">
        <f>AD20/AE20</f>
        <v>0.44994000000000001</v>
      </c>
      <c r="AG20" s="32">
        <f t="shared" si="4"/>
        <v>89988</v>
      </c>
      <c r="AH20" s="35">
        <v>0</v>
      </c>
      <c r="AI20" s="43">
        <v>0</v>
      </c>
      <c r="AJ20" s="35">
        <v>0</v>
      </c>
      <c r="AK20" s="43">
        <v>0</v>
      </c>
      <c r="AL20" s="44">
        <v>89988</v>
      </c>
      <c r="AM20" s="38">
        <v>0</v>
      </c>
      <c r="AN20" s="38">
        <v>0</v>
      </c>
      <c r="AO20" s="39">
        <f t="shared" si="5"/>
        <v>89988</v>
      </c>
      <c r="AP20" s="40">
        <f t="shared" si="6"/>
        <v>250719</v>
      </c>
      <c r="AQ20" s="28">
        <v>415000</v>
      </c>
      <c r="AR20" s="41">
        <f>AP20/AQ20</f>
        <v>0.60414216867469883</v>
      </c>
      <c r="AS20" s="30">
        <f t="shared" si="12"/>
        <v>351472</v>
      </c>
      <c r="AT20" s="30">
        <f t="shared" si="7"/>
        <v>165900</v>
      </c>
      <c r="AU20" s="42">
        <f t="shared" si="8"/>
        <v>768091</v>
      </c>
      <c r="AV20" s="33">
        <f t="shared" si="9"/>
        <v>0</v>
      </c>
      <c r="AW20" s="46">
        <f t="shared" si="9"/>
        <v>0</v>
      </c>
      <c r="AX20" s="33">
        <f t="shared" si="9"/>
        <v>0</v>
      </c>
      <c r="AY20" s="47">
        <f t="shared" si="9"/>
        <v>0</v>
      </c>
      <c r="AZ20" s="48">
        <f t="shared" si="10"/>
        <v>187424</v>
      </c>
      <c r="BA20" s="49">
        <f t="shared" si="10"/>
        <v>25441</v>
      </c>
      <c r="BB20" s="49">
        <f t="shared" si="10"/>
        <v>37854</v>
      </c>
      <c r="BC20" s="50">
        <f t="shared" si="11"/>
        <v>250719</v>
      </c>
      <c r="BD20" s="51"/>
    </row>
    <row r="21" spans="1:56" s="52" customFormat="1" ht="21.75" customHeight="1" x14ac:dyDescent="0.15">
      <c r="A21" s="26">
        <v>46095</v>
      </c>
      <c r="B21" s="27">
        <v>0</v>
      </c>
      <c r="C21" s="28">
        <v>0</v>
      </c>
      <c r="D21" s="29">
        <v>0</v>
      </c>
      <c r="E21" s="30">
        <v>0</v>
      </c>
      <c r="F21" s="31">
        <v>0</v>
      </c>
      <c r="G21" s="32">
        <f t="shared" si="0"/>
        <v>0</v>
      </c>
      <c r="H21" s="33">
        <v>0</v>
      </c>
      <c r="I21" s="34">
        <v>0</v>
      </c>
      <c r="J21" s="35">
        <v>0</v>
      </c>
      <c r="K21" s="36">
        <v>0</v>
      </c>
      <c r="L21" s="37">
        <v>0</v>
      </c>
      <c r="M21" s="38">
        <v>0</v>
      </c>
      <c r="N21" s="38">
        <v>0</v>
      </c>
      <c r="O21" s="39">
        <f t="shared" si="1"/>
        <v>0</v>
      </c>
      <c r="P21" s="40">
        <v>0</v>
      </c>
      <c r="Q21" s="28">
        <v>0</v>
      </c>
      <c r="R21" s="29">
        <v>0</v>
      </c>
      <c r="S21" s="30">
        <v>0</v>
      </c>
      <c r="T21" s="31">
        <v>0</v>
      </c>
      <c r="U21" s="32">
        <f t="shared" si="2"/>
        <v>0</v>
      </c>
      <c r="V21" s="33">
        <v>0</v>
      </c>
      <c r="W21" s="34">
        <v>0</v>
      </c>
      <c r="X21" s="35">
        <v>0</v>
      </c>
      <c r="Y21" s="36">
        <v>0</v>
      </c>
      <c r="Z21" s="37">
        <v>0</v>
      </c>
      <c r="AA21" s="38">
        <v>0</v>
      </c>
      <c r="AB21" s="38">
        <v>0</v>
      </c>
      <c r="AC21" s="39">
        <f t="shared" si="3"/>
        <v>0</v>
      </c>
      <c r="AD21" s="45">
        <v>0</v>
      </c>
      <c r="AE21" s="28">
        <v>0</v>
      </c>
      <c r="AF21" s="41">
        <v>0</v>
      </c>
      <c r="AG21" s="32">
        <f t="shared" si="4"/>
        <v>0</v>
      </c>
      <c r="AH21" s="35">
        <v>0</v>
      </c>
      <c r="AI21" s="43">
        <v>0</v>
      </c>
      <c r="AJ21" s="35">
        <v>0</v>
      </c>
      <c r="AK21" s="43">
        <v>0</v>
      </c>
      <c r="AL21" s="44">
        <v>0</v>
      </c>
      <c r="AM21" s="38">
        <v>0</v>
      </c>
      <c r="AN21" s="38">
        <v>0</v>
      </c>
      <c r="AO21" s="39">
        <f t="shared" si="5"/>
        <v>0</v>
      </c>
      <c r="AP21" s="40">
        <f t="shared" si="6"/>
        <v>0</v>
      </c>
      <c r="AQ21" s="28">
        <v>0</v>
      </c>
      <c r="AR21" s="41">
        <v>0</v>
      </c>
      <c r="AS21" s="30">
        <f t="shared" si="12"/>
        <v>0</v>
      </c>
      <c r="AT21" s="30">
        <f t="shared" si="7"/>
        <v>0</v>
      </c>
      <c r="AU21" s="42">
        <f t="shared" si="8"/>
        <v>0</v>
      </c>
      <c r="AV21" s="33">
        <f t="shared" si="9"/>
        <v>0</v>
      </c>
      <c r="AW21" s="46">
        <f t="shared" si="9"/>
        <v>0</v>
      </c>
      <c r="AX21" s="33">
        <f t="shared" si="9"/>
        <v>0</v>
      </c>
      <c r="AY21" s="46">
        <f t="shared" si="9"/>
        <v>0</v>
      </c>
      <c r="AZ21" s="48">
        <f t="shared" si="10"/>
        <v>0</v>
      </c>
      <c r="BA21" s="49">
        <f t="shared" si="10"/>
        <v>0</v>
      </c>
      <c r="BB21" s="49">
        <f t="shared" si="10"/>
        <v>0</v>
      </c>
      <c r="BC21" s="50">
        <f t="shared" si="11"/>
        <v>0</v>
      </c>
      <c r="BD21" s="51"/>
    </row>
    <row r="22" spans="1:56" s="52" customFormat="1" ht="21.75" customHeight="1" x14ac:dyDescent="0.15">
      <c r="A22" s="26">
        <v>46096</v>
      </c>
      <c r="B22" s="27">
        <v>0</v>
      </c>
      <c r="C22" s="28">
        <v>0</v>
      </c>
      <c r="D22" s="29">
        <v>0</v>
      </c>
      <c r="E22" s="30">
        <v>0</v>
      </c>
      <c r="F22" s="31">
        <v>0</v>
      </c>
      <c r="G22" s="32">
        <f t="shared" si="0"/>
        <v>0</v>
      </c>
      <c r="H22" s="33">
        <v>0</v>
      </c>
      <c r="I22" s="34">
        <v>0</v>
      </c>
      <c r="J22" s="35">
        <v>0</v>
      </c>
      <c r="K22" s="36">
        <v>0</v>
      </c>
      <c r="L22" s="37">
        <v>0</v>
      </c>
      <c r="M22" s="38">
        <v>0</v>
      </c>
      <c r="N22" s="38">
        <v>0</v>
      </c>
      <c r="O22" s="39">
        <f t="shared" si="1"/>
        <v>0</v>
      </c>
      <c r="P22" s="40">
        <v>0</v>
      </c>
      <c r="Q22" s="28">
        <v>0</v>
      </c>
      <c r="R22" s="29">
        <v>0</v>
      </c>
      <c r="S22" s="30">
        <v>0</v>
      </c>
      <c r="T22" s="31">
        <v>0</v>
      </c>
      <c r="U22" s="32">
        <f t="shared" si="2"/>
        <v>0</v>
      </c>
      <c r="V22" s="33">
        <v>0</v>
      </c>
      <c r="W22" s="34">
        <v>0</v>
      </c>
      <c r="X22" s="35">
        <v>0</v>
      </c>
      <c r="Y22" s="36">
        <v>0</v>
      </c>
      <c r="Z22" s="37">
        <v>0</v>
      </c>
      <c r="AA22" s="38">
        <v>0</v>
      </c>
      <c r="AB22" s="38">
        <v>0</v>
      </c>
      <c r="AC22" s="39">
        <f t="shared" si="3"/>
        <v>0</v>
      </c>
      <c r="AD22" s="45">
        <v>0</v>
      </c>
      <c r="AE22" s="28">
        <v>0</v>
      </c>
      <c r="AF22" s="41">
        <v>0</v>
      </c>
      <c r="AG22" s="32">
        <f t="shared" si="4"/>
        <v>0</v>
      </c>
      <c r="AH22" s="35">
        <v>0</v>
      </c>
      <c r="AI22" s="43">
        <v>0</v>
      </c>
      <c r="AJ22" s="35">
        <v>0</v>
      </c>
      <c r="AK22" s="43">
        <v>0</v>
      </c>
      <c r="AL22" s="44">
        <v>0</v>
      </c>
      <c r="AM22" s="38">
        <v>0</v>
      </c>
      <c r="AN22" s="38">
        <v>0</v>
      </c>
      <c r="AO22" s="39">
        <f t="shared" si="5"/>
        <v>0</v>
      </c>
      <c r="AP22" s="40">
        <f t="shared" si="6"/>
        <v>0</v>
      </c>
      <c r="AQ22" s="28">
        <v>0</v>
      </c>
      <c r="AR22" s="41">
        <v>0</v>
      </c>
      <c r="AS22" s="30">
        <f t="shared" si="12"/>
        <v>0</v>
      </c>
      <c r="AT22" s="30">
        <f t="shared" si="7"/>
        <v>0</v>
      </c>
      <c r="AU22" s="42">
        <f t="shared" si="8"/>
        <v>0</v>
      </c>
      <c r="AV22" s="33">
        <f t="shared" si="9"/>
        <v>0</v>
      </c>
      <c r="AW22" s="46">
        <f t="shared" si="9"/>
        <v>0</v>
      </c>
      <c r="AX22" s="33">
        <f t="shared" si="9"/>
        <v>0</v>
      </c>
      <c r="AY22" s="46">
        <f t="shared" si="9"/>
        <v>0</v>
      </c>
      <c r="AZ22" s="48">
        <f t="shared" si="10"/>
        <v>0</v>
      </c>
      <c r="BA22" s="49">
        <f t="shared" si="10"/>
        <v>0</v>
      </c>
      <c r="BB22" s="49">
        <f t="shared" si="10"/>
        <v>0</v>
      </c>
      <c r="BC22" s="50">
        <f t="shared" si="11"/>
        <v>0</v>
      </c>
      <c r="BD22" s="51"/>
    </row>
    <row r="23" spans="1:56" s="52" customFormat="1" ht="21.75" customHeight="1" x14ac:dyDescent="0.15">
      <c r="A23" s="53">
        <v>46097</v>
      </c>
      <c r="B23" s="27">
        <v>215190</v>
      </c>
      <c r="C23" s="28">
        <v>145000</v>
      </c>
      <c r="D23" s="29">
        <f>B23/C23</f>
        <v>1.4840689655172414</v>
      </c>
      <c r="E23" s="30">
        <v>0</v>
      </c>
      <c r="F23" s="31">
        <v>196680</v>
      </c>
      <c r="G23" s="32">
        <f t="shared" si="0"/>
        <v>411870</v>
      </c>
      <c r="H23" s="33">
        <v>0</v>
      </c>
      <c r="I23" s="34">
        <v>0</v>
      </c>
      <c r="J23" s="35">
        <v>0</v>
      </c>
      <c r="K23" s="36">
        <v>0</v>
      </c>
      <c r="L23" s="37">
        <v>215190</v>
      </c>
      <c r="M23" s="38">
        <v>0</v>
      </c>
      <c r="N23" s="38">
        <v>0</v>
      </c>
      <c r="O23" s="39">
        <f t="shared" si="1"/>
        <v>215190</v>
      </c>
      <c r="P23" s="40">
        <v>83319</v>
      </c>
      <c r="Q23" s="28">
        <v>70000</v>
      </c>
      <c r="R23" s="29">
        <f>P23/Q23</f>
        <v>1.1902714285714286</v>
      </c>
      <c r="S23" s="30">
        <v>0</v>
      </c>
      <c r="T23" s="31">
        <v>66400</v>
      </c>
      <c r="U23" s="32">
        <f t="shared" si="2"/>
        <v>149719</v>
      </c>
      <c r="V23" s="33">
        <v>0</v>
      </c>
      <c r="W23" s="34">
        <v>0</v>
      </c>
      <c r="X23" s="35">
        <v>0</v>
      </c>
      <c r="Y23" s="36">
        <v>10778</v>
      </c>
      <c r="Z23" s="37">
        <v>83319</v>
      </c>
      <c r="AA23" s="38">
        <v>0</v>
      </c>
      <c r="AB23" s="38">
        <v>0</v>
      </c>
      <c r="AC23" s="39">
        <f t="shared" si="3"/>
        <v>83319</v>
      </c>
      <c r="AD23" s="45">
        <v>351472</v>
      </c>
      <c r="AE23" s="28">
        <v>200000</v>
      </c>
      <c r="AF23" s="41">
        <f>AD23/AE23</f>
        <v>1.75736</v>
      </c>
      <c r="AG23" s="32">
        <f t="shared" si="4"/>
        <v>351472</v>
      </c>
      <c r="AH23" s="35">
        <v>0</v>
      </c>
      <c r="AI23" s="43">
        <v>0</v>
      </c>
      <c r="AJ23" s="35">
        <v>26585</v>
      </c>
      <c r="AK23" s="43">
        <v>0</v>
      </c>
      <c r="AL23" s="44">
        <v>330433</v>
      </c>
      <c r="AM23" s="38">
        <v>21039</v>
      </c>
      <c r="AN23" s="38">
        <v>0</v>
      </c>
      <c r="AO23" s="39">
        <f t="shared" si="5"/>
        <v>351472</v>
      </c>
      <c r="AP23" s="40">
        <f t="shared" si="6"/>
        <v>649981</v>
      </c>
      <c r="AQ23" s="28">
        <v>415000</v>
      </c>
      <c r="AR23" s="41">
        <f>AP23/AQ23</f>
        <v>1.5662192771084338</v>
      </c>
      <c r="AS23" s="30">
        <f t="shared" si="12"/>
        <v>0</v>
      </c>
      <c r="AT23" s="30">
        <f t="shared" si="7"/>
        <v>263080</v>
      </c>
      <c r="AU23" s="42">
        <f t="shared" si="8"/>
        <v>913061</v>
      </c>
      <c r="AV23" s="33">
        <f t="shared" si="9"/>
        <v>0</v>
      </c>
      <c r="AW23" s="46">
        <f t="shared" si="9"/>
        <v>0</v>
      </c>
      <c r="AX23" s="33">
        <f t="shared" si="9"/>
        <v>26585</v>
      </c>
      <c r="AY23" s="47">
        <f t="shared" si="9"/>
        <v>10778</v>
      </c>
      <c r="AZ23" s="48">
        <f t="shared" si="10"/>
        <v>628942</v>
      </c>
      <c r="BA23" s="49">
        <f t="shared" si="10"/>
        <v>21039</v>
      </c>
      <c r="BB23" s="49">
        <f t="shared" si="10"/>
        <v>0</v>
      </c>
      <c r="BC23" s="50">
        <f t="shared" si="11"/>
        <v>649981</v>
      </c>
      <c r="BD23" s="51"/>
    </row>
    <row r="24" spans="1:56" s="52" customFormat="1" ht="21.75" customHeight="1" x14ac:dyDescent="0.15">
      <c r="A24" s="53">
        <v>46098</v>
      </c>
      <c r="B24" s="27">
        <v>235032</v>
      </c>
      <c r="C24" s="28">
        <v>145000</v>
      </c>
      <c r="D24" s="29">
        <f>B24/C24</f>
        <v>1.6209103448275861</v>
      </c>
      <c r="E24" s="30">
        <v>0</v>
      </c>
      <c r="F24" s="31">
        <v>90300</v>
      </c>
      <c r="G24" s="32">
        <f t="shared" si="0"/>
        <v>325332</v>
      </c>
      <c r="H24" s="33">
        <v>0</v>
      </c>
      <c r="I24" s="34">
        <v>0</v>
      </c>
      <c r="J24" s="35">
        <v>0</v>
      </c>
      <c r="K24" s="36">
        <v>48802</v>
      </c>
      <c r="L24" s="37">
        <v>178295</v>
      </c>
      <c r="M24" s="38">
        <v>56737</v>
      </c>
      <c r="N24" s="38">
        <v>0</v>
      </c>
      <c r="O24" s="39">
        <f t="shared" si="1"/>
        <v>235032</v>
      </c>
      <c r="P24" s="40">
        <v>31948</v>
      </c>
      <c r="Q24" s="28">
        <v>70000</v>
      </c>
      <c r="R24" s="29">
        <f>P24/Q24</f>
        <v>0.45639999999999997</v>
      </c>
      <c r="S24" s="30">
        <v>51900</v>
      </c>
      <c r="T24" s="31">
        <v>0</v>
      </c>
      <c r="U24" s="32">
        <f t="shared" si="2"/>
        <v>83848</v>
      </c>
      <c r="V24" s="33">
        <v>0</v>
      </c>
      <c r="W24" s="34">
        <v>0</v>
      </c>
      <c r="X24" s="35">
        <v>0</v>
      </c>
      <c r="Y24" s="36">
        <v>0</v>
      </c>
      <c r="Z24" s="37">
        <v>31948</v>
      </c>
      <c r="AA24" s="38">
        <v>0</v>
      </c>
      <c r="AB24" s="38">
        <v>0</v>
      </c>
      <c r="AC24" s="39">
        <f t="shared" si="3"/>
        <v>31948</v>
      </c>
      <c r="AD24" s="45">
        <v>26276</v>
      </c>
      <c r="AE24" s="28">
        <v>200000</v>
      </c>
      <c r="AF24" s="41">
        <f>AD24/AE24</f>
        <v>0.13138</v>
      </c>
      <c r="AG24" s="32">
        <f t="shared" si="4"/>
        <v>26276</v>
      </c>
      <c r="AH24" s="35">
        <v>0</v>
      </c>
      <c r="AI24" s="43">
        <v>0</v>
      </c>
      <c r="AJ24" s="35">
        <v>0</v>
      </c>
      <c r="AK24" s="43">
        <v>0</v>
      </c>
      <c r="AL24" s="44">
        <v>26276</v>
      </c>
      <c r="AM24" s="38">
        <v>0</v>
      </c>
      <c r="AN24" s="38">
        <v>0</v>
      </c>
      <c r="AO24" s="39">
        <f t="shared" si="5"/>
        <v>26276</v>
      </c>
      <c r="AP24" s="40">
        <f t="shared" si="6"/>
        <v>293256</v>
      </c>
      <c r="AQ24" s="28">
        <v>415000</v>
      </c>
      <c r="AR24" s="41">
        <f>AP24/AQ24</f>
        <v>0.70664096385542163</v>
      </c>
      <c r="AS24" s="30">
        <f t="shared" si="12"/>
        <v>51900</v>
      </c>
      <c r="AT24" s="30">
        <f t="shared" si="12"/>
        <v>90300</v>
      </c>
      <c r="AU24" s="42">
        <f t="shared" si="8"/>
        <v>435456</v>
      </c>
      <c r="AV24" s="33">
        <f t="shared" ref="AV24:AY38" si="13">SUM(H24,V24,AH24)</f>
        <v>0</v>
      </c>
      <c r="AW24" s="46">
        <f t="shared" si="13"/>
        <v>0</v>
      </c>
      <c r="AX24" s="33">
        <f t="shared" si="13"/>
        <v>0</v>
      </c>
      <c r="AY24" s="46">
        <f t="shared" si="13"/>
        <v>48802</v>
      </c>
      <c r="AZ24" s="48">
        <f t="shared" ref="AZ24:BB38" si="14">L24+Z24+AL24</f>
        <v>236519</v>
      </c>
      <c r="BA24" s="49">
        <f t="shared" si="14"/>
        <v>56737</v>
      </c>
      <c r="BB24" s="49">
        <f t="shared" si="14"/>
        <v>0</v>
      </c>
      <c r="BC24" s="50">
        <f t="shared" si="11"/>
        <v>293256</v>
      </c>
      <c r="BD24" s="51"/>
    </row>
    <row r="25" spans="1:56" s="52" customFormat="1" ht="21.75" customHeight="1" x14ac:dyDescent="0.15">
      <c r="A25" s="53">
        <v>46099</v>
      </c>
      <c r="B25" s="27">
        <v>136705</v>
      </c>
      <c r="C25" s="28">
        <v>145000</v>
      </c>
      <c r="D25" s="29">
        <f>B25/C25</f>
        <v>0.94279310344827583</v>
      </c>
      <c r="E25" s="30">
        <v>172956</v>
      </c>
      <c r="F25" s="31">
        <v>0</v>
      </c>
      <c r="G25" s="32">
        <f t="shared" si="0"/>
        <v>309661</v>
      </c>
      <c r="H25" s="33">
        <v>0</v>
      </c>
      <c r="I25" s="34">
        <v>0</v>
      </c>
      <c r="J25" s="35">
        <v>0</v>
      </c>
      <c r="K25" s="36">
        <v>0</v>
      </c>
      <c r="L25" s="37">
        <v>136705</v>
      </c>
      <c r="M25" s="38">
        <v>0</v>
      </c>
      <c r="N25" s="38">
        <v>0</v>
      </c>
      <c r="O25" s="39">
        <f t="shared" si="1"/>
        <v>136705</v>
      </c>
      <c r="P25" s="40">
        <v>54552</v>
      </c>
      <c r="Q25" s="28">
        <v>70000</v>
      </c>
      <c r="R25" s="29">
        <f>P25/Q25</f>
        <v>0.77931428571428574</v>
      </c>
      <c r="S25" s="30">
        <v>25496</v>
      </c>
      <c r="T25" s="31">
        <v>0</v>
      </c>
      <c r="U25" s="32">
        <f t="shared" si="2"/>
        <v>80048</v>
      </c>
      <c r="V25" s="33">
        <v>0</v>
      </c>
      <c r="W25" s="34">
        <v>0</v>
      </c>
      <c r="X25" s="35">
        <v>0</v>
      </c>
      <c r="Y25" s="36">
        <v>0</v>
      </c>
      <c r="Z25" s="37">
        <v>29316</v>
      </c>
      <c r="AA25" s="38">
        <v>0</v>
      </c>
      <c r="AB25" s="38">
        <v>25236</v>
      </c>
      <c r="AC25" s="39">
        <f t="shared" si="3"/>
        <v>54552</v>
      </c>
      <c r="AD25" s="45">
        <v>86478</v>
      </c>
      <c r="AE25" s="28">
        <v>200000</v>
      </c>
      <c r="AF25" s="41">
        <f>AD25/AE25</f>
        <v>0.43239</v>
      </c>
      <c r="AG25" s="32">
        <f t="shared" si="4"/>
        <v>86478</v>
      </c>
      <c r="AH25" s="35">
        <v>0</v>
      </c>
      <c r="AI25" s="43">
        <v>0</v>
      </c>
      <c r="AJ25" s="35">
        <v>0</v>
      </c>
      <c r="AK25" s="43">
        <v>0</v>
      </c>
      <c r="AL25" s="44">
        <v>86478</v>
      </c>
      <c r="AM25" s="38">
        <v>0</v>
      </c>
      <c r="AN25" s="38">
        <v>0</v>
      </c>
      <c r="AO25" s="39">
        <f t="shared" si="5"/>
        <v>86478</v>
      </c>
      <c r="AP25" s="40">
        <f t="shared" si="6"/>
        <v>277735</v>
      </c>
      <c r="AQ25" s="28">
        <v>415000</v>
      </c>
      <c r="AR25" s="41">
        <f>AP25/AQ25</f>
        <v>0.66924096385542164</v>
      </c>
      <c r="AS25" s="30">
        <f t="shared" si="12"/>
        <v>198452</v>
      </c>
      <c r="AT25" s="30">
        <f t="shared" si="12"/>
        <v>0</v>
      </c>
      <c r="AU25" s="42">
        <f t="shared" si="8"/>
        <v>476187</v>
      </c>
      <c r="AV25" s="33">
        <f t="shared" si="13"/>
        <v>0</v>
      </c>
      <c r="AW25" s="46">
        <f t="shared" si="13"/>
        <v>0</v>
      </c>
      <c r="AX25" s="33">
        <f t="shared" si="13"/>
        <v>0</v>
      </c>
      <c r="AY25" s="46">
        <f t="shared" si="13"/>
        <v>0</v>
      </c>
      <c r="AZ25" s="48">
        <f t="shared" si="14"/>
        <v>252499</v>
      </c>
      <c r="BA25" s="49">
        <f t="shared" si="14"/>
        <v>0</v>
      </c>
      <c r="BB25" s="49">
        <f t="shared" si="14"/>
        <v>25236</v>
      </c>
      <c r="BC25" s="50">
        <f t="shared" si="11"/>
        <v>277735</v>
      </c>
      <c r="BD25" s="51"/>
    </row>
    <row r="26" spans="1:56" s="52" customFormat="1" ht="21.75" customHeight="1" x14ac:dyDescent="0.15">
      <c r="A26" s="53">
        <v>46100</v>
      </c>
      <c r="B26" s="27">
        <v>198530</v>
      </c>
      <c r="C26" s="28">
        <v>145000</v>
      </c>
      <c r="D26" s="29">
        <f>B26/C26</f>
        <v>1.3691724137931034</v>
      </c>
      <c r="E26" s="30">
        <v>0</v>
      </c>
      <c r="F26" s="31">
        <v>101109</v>
      </c>
      <c r="G26" s="32">
        <f t="shared" si="0"/>
        <v>299639</v>
      </c>
      <c r="H26" s="33">
        <v>0</v>
      </c>
      <c r="I26" s="34">
        <v>0</v>
      </c>
      <c r="J26" s="35">
        <v>0</v>
      </c>
      <c r="K26" s="36">
        <v>0</v>
      </c>
      <c r="L26" s="37">
        <v>198530</v>
      </c>
      <c r="M26" s="38">
        <v>0</v>
      </c>
      <c r="N26" s="38">
        <v>0</v>
      </c>
      <c r="O26" s="39">
        <f t="shared" si="1"/>
        <v>198530</v>
      </c>
      <c r="P26" s="40">
        <v>133314</v>
      </c>
      <c r="Q26" s="28">
        <v>70000</v>
      </c>
      <c r="R26" s="29">
        <f>P26/Q26</f>
        <v>1.9044857142857143</v>
      </c>
      <c r="S26" s="30">
        <v>0</v>
      </c>
      <c r="T26" s="31">
        <v>0</v>
      </c>
      <c r="U26" s="32">
        <f t="shared" si="2"/>
        <v>133314</v>
      </c>
      <c r="V26" s="33">
        <v>0</v>
      </c>
      <c r="W26" s="34">
        <v>0</v>
      </c>
      <c r="X26" s="35">
        <v>1374</v>
      </c>
      <c r="Y26" s="36">
        <v>0</v>
      </c>
      <c r="Z26" s="37">
        <v>89151</v>
      </c>
      <c r="AA26" s="38">
        <v>0</v>
      </c>
      <c r="AB26" s="38">
        <v>44163</v>
      </c>
      <c r="AC26" s="39">
        <f t="shared" si="3"/>
        <v>133314</v>
      </c>
      <c r="AD26" s="45">
        <v>111974</v>
      </c>
      <c r="AE26" s="28">
        <v>200000</v>
      </c>
      <c r="AF26" s="41">
        <f>AD26/AE26</f>
        <v>0.55986999999999998</v>
      </c>
      <c r="AG26" s="32">
        <f t="shared" si="4"/>
        <v>111974</v>
      </c>
      <c r="AH26" s="35">
        <v>0</v>
      </c>
      <c r="AI26" s="43">
        <v>0</v>
      </c>
      <c r="AJ26" s="35">
        <v>0</v>
      </c>
      <c r="AK26" s="43">
        <v>0</v>
      </c>
      <c r="AL26" s="44">
        <v>111974</v>
      </c>
      <c r="AM26" s="38">
        <v>0</v>
      </c>
      <c r="AN26" s="38">
        <v>0</v>
      </c>
      <c r="AO26" s="39">
        <f t="shared" si="5"/>
        <v>111974</v>
      </c>
      <c r="AP26" s="40">
        <f t="shared" si="6"/>
        <v>443818</v>
      </c>
      <c r="AQ26" s="28">
        <v>415000</v>
      </c>
      <c r="AR26" s="41">
        <f>AP26/AQ26</f>
        <v>1.0694409638554216</v>
      </c>
      <c r="AS26" s="30">
        <f t="shared" si="12"/>
        <v>0</v>
      </c>
      <c r="AT26" s="30">
        <f t="shared" si="12"/>
        <v>101109</v>
      </c>
      <c r="AU26" s="42">
        <f t="shared" si="8"/>
        <v>544927</v>
      </c>
      <c r="AV26" s="33">
        <f t="shared" si="13"/>
        <v>0</v>
      </c>
      <c r="AW26" s="46">
        <f t="shared" si="13"/>
        <v>0</v>
      </c>
      <c r="AX26" s="33">
        <f t="shared" si="13"/>
        <v>1374</v>
      </c>
      <c r="AY26" s="47">
        <f t="shared" si="13"/>
        <v>0</v>
      </c>
      <c r="AZ26" s="48">
        <f t="shared" si="14"/>
        <v>399655</v>
      </c>
      <c r="BA26" s="49">
        <f t="shared" si="14"/>
        <v>0</v>
      </c>
      <c r="BB26" s="49">
        <f t="shared" si="14"/>
        <v>44163</v>
      </c>
      <c r="BC26" s="50">
        <f t="shared" si="11"/>
        <v>443818</v>
      </c>
      <c r="BD26" s="51"/>
    </row>
    <row r="27" spans="1:56" s="52" customFormat="1" ht="21.75" customHeight="1" x14ac:dyDescent="0.15">
      <c r="A27" s="53">
        <v>46101</v>
      </c>
      <c r="B27" s="27">
        <v>128994</v>
      </c>
      <c r="C27" s="28">
        <v>145000</v>
      </c>
      <c r="D27" s="29">
        <f>B27/C27</f>
        <v>0.88961379310344824</v>
      </c>
      <c r="E27" s="30">
        <v>10080</v>
      </c>
      <c r="F27" s="31">
        <v>108800</v>
      </c>
      <c r="G27" s="32">
        <f t="shared" si="0"/>
        <v>247874</v>
      </c>
      <c r="H27" s="33">
        <v>0</v>
      </c>
      <c r="I27" s="34">
        <v>0</v>
      </c>
      <c r="J27" s="35">
        <v>0</v>
      </c>
      <c r="K27" s="36">
        <v>0</v>
      </c>
      <c r="L27" s="37">
        <v>91860</v>
      </c>
      <c r="M27" s="38">
        <v>37134</v>
      </c>
      <c r="N27" s="38">
        <v>0</v>
      </c>
      <c r="O27" s="39">
        <f t="shared" si="1"/>
        <v>128994</v>
      </c>
      <c r="P27" s="40">
        <v>110616</v>
      </c>
      <c r="Q27" s="28">
        <v>70000</v>
      </c>
      <c r="R27" s="29">
        <f>P27/Q27</f>
        <v>1.5802285714285715</v>
      </c>
      <c r="S27" s="30">
        <v>0</v>
      </c>
      <c r="T27" s="31">
        <v>18850</v>
      </c>
      <c r="U27" s="32">
        <f t="shared" si="2"/>
        <v>129466</v>
      </c>
      <c r="V27" s="33">
        <v>0</v>
      </c>
      <c r="W27" s="34">
        <v>0</v>
      </c>
      <c r="X27" s="35">
        <v>0</v>
      </c>
      <c r="Y27" s="36">
        <v>0</v>
      </c>
      <c r="Z27" s="37">
        <v>71136</v>
      </c>
      <c r="AA27" s="38">
        <v>39480</v>
      </c>
      <c r="AB27" s="38">
        <v>0</v>
      </c>
      <c r="AC27" s="39">
        <f t="shared" si="3"/>
        <v>110616</v>
      </c>
      <c r="AD27" s="45">
        <v>10080</v>
      </c>
      <c r="AE27" s="28">
        <v>200000</v>
      </c>
      <c r="AF27" s="41">
        <f>AD27/AE27</f>
        <v>5.04E-2</v>
      </c>
      <c r="AG27" s="32">
        <f t="shared" si="4"/>
        <v>10080</v>
      </c>
      <c r="AH27" s="35">
        <v>0</v>
      </c>
      <c r="AI27" s="43">
        <v>0</v>
      </c>
      <c r="AJ27" s="35">
        <v>0</v>
      </c>
      <c r="AK27" s="43">
        <v>0</v>
      </c>
      <c r="AL27" s="44">
        <v>0</v>
      </c>
      <c r="AM27" s="38">
        <v>10080</v>
      </c>
      <c r="AN27" s="38">
        <v>0</v>
      </c>
      <c r="AO27" s="39">
        <f t="shared" si="5"/>
        <v>10080</v>
      </c>
      <c r="AP27" s="40">
        <f t="shared" si="6"/>
        <v>249690</v>
      </c>
      <c r="AQ27" s="28">
        <v>415000</v>
      </c>
      <c r="AR27" s="41">
        <f>AP27/AQ27</f>
        <v>0.60166265060240964</v>
      </c>
      <c r="AS27" s="30">
        <f t="shared" si="12"/>
        <v>10080</v>
      </c>
      <c r="AT27" s="30">
        <f t="shared" si="12"/>
        <v>127650</v>
      </c>
      <c r="AU27" s="42">
        <f t="shared" si="8"/>
        <v>387420</v>
      </c>
      <c r="AV27" s="33">
        <f t="shared" si="13"/>
        <v>0</v>
      </c>
      <c r="AW27" s="46">
        <f t="shared" si="13"/>
        <v>0</v>
      </c>
      <c r="AX27" s="33">
        <f t="shared" si="13"/>
        <v>0</v>
      </c>
      <c r="AY27" s="47">
        <f t="shared" si="13"/>
        <v>0</v>
      </c>
      <c r="AZ27" s="48">
        <f t="shared" si="14"/>
        <v>162996</v>
      </c>
      <c r="BA27" s="49">
        <f t="shared" si="14"/>
        <v>86694</v>
      </c>
      <c r="BB27" s="49">
        <f t="shared" si="14"/>
        <v>0</v>
      </c>
      <c r="BC27" s="50">
        <f t="shared" si="11"/>
        <v>249690</v>
      </c>
      <c r="BD27" s="51"/>
    </row>
    <row r="28" spans="1:56" s="52" customFormat="1" ht="21.75" customHeight="1" x14ac:dyDescent="0.15">
      <c r="A28" s="26">
        <v>46102</v>
      </c>
      <c r="B28" s="27">
        <v>0</v>
      </c>
      <c r="C28" s="28">
        <v>0</v>
      </c>
      <c r="D28" s="29">
        <v>0</v>
      </c>
      <c r="E28" s="30">
        <v>0</v>
      </c>
      <c r="F28" s="31">
        <v>0</v>
      </c>
      <c r="G28" s="32">
        <f t="shared" si="0"/>
        <v>0</v>
      </c>
      <c r="H28" s="33">
        <v>0</v>
      </c>
      <c r="I28" s="34">
        <v>0</v>
      </c>
      <c r="J28" s="35">
        <v>0</v>
      </c>
      <c r="K28" s="36">
        <v>0</v>
      </c>
      <c r="L28" s="37">
        <v>0</v>
      </c>
      <c r="M28" s="38">
        <v>0</v>
      </c>
      <c r="N28" s="38">
        <v>0</v>
      </c>
      <c r="O28" s="39">
        <f t="shared" si="1"/>
        <v>0</v>
      </c>
      <c r="P28" s="40">
        <v>0</v>
      </c>
      <c r="Q28" s="28">
        <v>0</v>
      </c>
      <c r="R28" s="29">
        <v>0</v>
      </c>
      <c r="S28" s="30">
        <v>0</v>
      </c>
      <c r="T28" s="31">
        <v>0</v>
      </c>
      <c r="U28" s="32">
        <f t="shared" si="2"/>
        <v>0</v>
      </c>
      <c r="V28" s="33">
        <v>0</v>
      </c>
      <c r="W28" s="34">
        <v>0</v>
      </c>
      <c r="X28" s="35">
        <v>0</v>
      </c>
      <c r="Y28" s="36">
        <v>0</v>
      </c>
      <c r="Z28" s="37">
        <v>0</v>
      </c>
      <c r="AA28" s="38">
        <v>0</v>
      </c>
      <c r="AB28" s="38">
        <v>0</v>
      </c>
      <c r="AC28" s="39">
        <f t="shared" si="3"/>
        <v>0</v>
      </c>
      <c r="AD28" s="45">
        <v>0</v>
      </c>
      <c r="AE28" s="28">
        <v>0</v>
      </c>
      <c r="AF28" s="41">
        <v>0</v>
      </c>
      <c r="AG28" s="32">
        <f t="shared" si="4"/>
        <v>0</v>
      </c>
      <c r="AH28" s="35">
        <v>0</v>
      </c>
      <c r="AI28" s="43">
        <v>0</v>
      </c>
      <c r="AJ28" s="35">
        <v>0</v>
      </c>
      <c r="AK28" s="43">
        <v>0</v>
      </c>
      <c r="AL28" s="44">
        <v>0</v>
      </c>
      <c r="AM28" s="38">
        <v>0</v>
      </c>
      <c r="AN28" s="38">
        <v>0</v>
      </c>
      <c r="AO28" s="39">
        <f t="shared" si="5"/>
        <v>0</v>
      </c>
      <c r="AP28" s="40">
        <f t="shared" si="6"/>
        <v>0</v>
      </c>
      <c r="AQ28" s="28">
        <v>0</v>
      </c>
      <c r="AR28" s="41">
        <v>0</v>
      </c>
      <c r="AS28" s="30">
        <f t="shared" si="12"/>
        <v>0</v>
      </c>
      <c r="AT28" s="30">
        <f t="shared" si="12"/>
        <v>0</v>
      </c>
      <c r="AU28" s="42">
        <f t="shared" si="8"/>
        <v>0</v>
      </c>
      <c r="AV28" s="33">
        <f t="shared" si="13"/>
        <v>0</v>
      </c>
      <c r="AW28" s="46">
        <f t="shared" si="13"/>
        <v>0</v>
      </c>
      <c r="AX28" s="33">
        <f t="shared" si="13"/>
        <v>0</v>
      </c>
      <c r="AY28" s="46">
        <f t="shared" si="13"/>
        <v>0</v>
      </c>
      <c r="AZ28" s="48">
        <f t="shared" si="14"/>
        <v>0</v>
      </c>
      <c r="BA28" s="49">
        <f t="shared" si="14"/>
        <v>0</v>
      </c>
      <c r="BB28" s="49">
        <f t="shared" si="14"/>
        <v>0</v>
      </c>
      <c r="BC28" s="50">
        <f t="shared" si="11"/>
        <v>0</v>
      </c>
      <c r="BD28" s="51"/>
    </row>
    <row r="29" spans="1:56" s="52" customFormat="1" ht="21.75" customHeight="1" x14ac:dyDescent="0.15">
      <c r="A29" s="26">
        <v>46103</v>
      </c>
      <c r="B29" s="27">
        <v>0</v>
      </c>
      <c r="C29" s="28">
        <v>0</v>
      </c>
      <c r="D29" s="29">
        <v>0</v>
      </c>
      <c r="E29" s="30">
        <v>0</v>
      </c>
      <c r="F29" s="31">
        <v>0</v>
      </c>
      <c r="G29" s="32">
        <f t="shared" si="0"/>
        <v>0</v>
      </c>
      <c r="H29" s="33">
        <v>0</v>
      </c>
      <c r="I29" s="34">
        <v>0</v>
      </c>
      <c r="J29" s="35">
        <v>0</v>
      </c>
      <c r="K29" s="36">
        <v>0</v>
      </c>
      <c r="L29" s="37">
        <v>0</v>
      </c>
      <c r="M29" s="38">
        <v>0</v>
      </c>
      <c r="N29" s="38">
        <v>0</v>
      </c>
      <c r="O29" s="39">
        <f t="shared" si="1"/>
        <v>0</v>
      </c>
      <c r="P29" s="40">
        <v>0</v>
      </c>
      <c r="Q29" s="28">
        <v>0</v>
      </c>
      <c r="R29" s="29">
        <v>0</v>
      </c>
      <c r="S29" s="30">
        <v>0</v>
      </c>
      <c r="T29" s="31">
        <v>0</v>
      </c>
      <c r="U29" s="32">
        <f t="shared" si="2"/>
        <v>0</v>
      </c>
      <c r="V29" s="33">
        <v>0</v>
      </c>
      <c r="W29" s="34">
        <v>0</v>
      </c>
      <c r="X29" s="35">
        <v>0</v>
      </c>
      <c r="Y29" s="36">
        <v>0</v>
      </c>
      <c r="Z29" s="37">
        <v>0</v>
      </c>
      <c r="AA29" s="38">
        <v>0</v>
      </c>
      <c r="AB29" s="38">
        <v>0</v>
      </c>
      <c r="AC29" s="39">
        <f t="shared" si="3"/>
        <v>0</v>
      </c>
      <c r="AD29" s="45">
        <v>0</v>
      </c>
      <c r="AE29" s="28">
        <v>0</v>
      </c>
      <c r="AF29" s="41">
        <v>0</v>
      </c>
      <c r="AG29" s="32">
        <f t="shared" si="4"/>
        <v>0</v>
      </c>
      <c r="AH29" s="35">
        <v>0</v>
      </c>
      <c r="AI29" s="43">
        <v>0</v>
      </c>
      <c r="AJ29" s="35">
        <v>0</v>
      </c>
      <c r="AK29" s="43">
        <v>0</v>
      </c>
      <c r="AL29" s="44">
        <v>0</v>
      </c>
      <c r="AM29" s="38">
        <v>0</v>
      </c>
      <c r="AN29" s="38">
        <v>0</v>
      </c>
      <c r="AO29" s="39">
        <f t="shared" si="5"/>
        <v>0</v>
      </c>
      <c r="AP29" s="40">
        <f t="shared" si="6"/>
        <v>0</v>
      </c>
      <c r="AQ29" s="28">
        <v>0</v>
      </c>
      <c r="AR29" s="41">
        <v>0</v>
      </c>
      <c r="AS29" s="30">
        <f t="shared" si="12"/>
        <v>0</v>
      </c>
      <c r="AT29" s="30">
        <f t="shared" si="12"/>
        <v>0</v>
      </c>
      <c r="AU29" s="42">
        <f t="shared" si="8"/>
        <v>0</v>
      </c>
      <c r="AV29" s="33">
        <f t="shared" si="13"/>
        <v>0</v>
      </c>
      <c r="AW29" s="46">
        <f t="shared" si="13"/>
        <v>0</v>
      </c>
      <c r="AX29" s="33">
        <f t="shared" si="13"/>
        <v>0</v>
      </c>
      <c r="AY29" s="46">
        <f t="shared" si="13"/>
        <v>0</v>
      </c>
      <c r="AZ29" s="48">
        <f t="shared" si="14"/>
        <v>0</v>
      </c>
      <c r="BA29" s="49">
        <f t="shared" si="14"/>
        <v>0</v>
      </c>
      <c r="BB29" s="49">
        <f t="shared" si="14"/>
        <v>0</v>
      </c>
      <c r="BC29" s="50">
        <f t="shared" si="11"/>
        <v>0</v>
      </c>
      <c r="BD29" s="51"/>
    </row>
    <row r="30" spans="1:56" s="52" customFormat="1" ht="21.75" customHeight="1" x14ac:dyDescent="0.15">
      <c r="A30" s="53">
        <v>46104</v>
      </c>
      <c r="B30" s="27">
        <v>278860</v>
      </c>
      <c r="C30" s="28">
        <v>145000</v>
      </c>
      <c r="D30" s="29">
        <f>B30/C30</f>
        <v>1.9231724137931034</v>
      </c>
      <c r="E30" s="30">
        <v>21299</v>
      </c>
      <c r="F30" s="31">
        <v>222364</v>
      </c>
      <c r="G30" s="32">
        <f t="shared" si="0"/>
        <v>522523</v>
      </c>
      <c r="H30" s="33">
        <v>0</v>
      </c>
      <c r="I30" s="34">
        <v>0</v>
      </c>
      <c r="J30" s="35">
        <v>0</v>
      </c>
      <c r="K30" s="36">
        <v>75002</v>
      </c>
      <c r="L30" s="37">
        <v>264885</v>
      </c>
      <c r="M30" s="38">
        <v>13975</v>
      </c>
      <c r="N30" s="38">
        <v>0</v>
      </c>
      <c r="O30" s="39">
        <f t="shared" si="1"/>
        <v>278860</v>
      </c>
      <c r="P30" s="40">
        <v>95677</v>
      </c>
      <c r="Q30" s="28">
        <v>70000</v>
      </c>
      <c r="R30" s="29">
        <f>P30/Q30</f>
        <v>1.3668142857142858</v>
      </c>
      <c r="S30" s="30">
        <v>0</v>
      </c>
      <c r="T30" s="31">
        <v>46050</v>
      </c>
      <c r="U30" s="32">
        <f t="shared" si="2"/>
        <v>141727</v>
      </c>
      <c r="V30" s="33">
        <v>0</v>
      </c>
      <c r="W30" s="34">
        <v>0</v>
      </c>
      <c r="X30" s="35">
        <v>0</v>
      </c>
      <c r="Y30" s="36">
        <v>0</v>
      </c>
      <c r="Z30" s="37">
        <v>64132</v>
      </c>
      <c r="AA30" s="38">
        <v>0</v>
      </c>
      <c r="AB30" s="38">
        <v>31545</v>
      </c>
      <c r="AC30" s="39">
        <f t="shared" si="3"/>
        <v>95677</v>
      </c>
      <c r="AD30" s="45">
        <v>21299</v>
      </c>
      <c r="AE30" s="28">
        <v>200000</v>
      </c>
      <c r="AF30" s="41">
        <f>AD30/AE30</f>
        <v>0.10649500000000001</v>
      </c>
      <c r="AG30" s="32">
        <f t="shared" si="4"/>
        <v>21299</v>
      </c>
      <c r="AH30" s="35">
        <v>0</v>
      </c>
      <c r="AI30" s="43">
        <v>0</v>
      </c>
      <c r="AJ30" s="35">
        <v>0</v>
      </c>
      <c r="AK30" s="43">
        <v>0</v>
      </c>
      <c r="AL30" s="44">
        <v>0</v>
      </c>
      <c r="AM30" s="38">
        <v>21299</v>
      </c>
      <c r="AN30" s="38">
        <v>0</v>
      </c>
      <c r="AO30" s="39">
        <f t="shared" si="5"/>
        <v>21299</v>
      </c>
      <c r="AP30" s="40">
        <f t="shared" si="6"/>
        <v>395836</v>
      </c>
      <c r="AQ30" s="28">
        <v>415000</v>
      </c>
      <c r="AR30" s="41">
        <f>AP30/AQ30</f>
        <v>0.95382168674698797</v>
      </c>
      <c r="AS30" s="30">
        <f t="shared" ref="AS30:AT38" si="15">E30+S30</f>
        <v>21299</v>
      </c>
      <c r="AT30" s="30">
        <f t="shared" si="15"/>
        <v>268414</v>
      </c>
      <c r="AU30" s="42">
        <f t="shared" si="8"/>
        <v>685549</v>
      </c>
      <c r="AV30" s="33">
        <f t="shared" si="13"/>
        <v>0</v>
      </c>
      <c r="AW30" s="46">
        <f t="shared" si="13"/>
        <v>0</v>
      </c>
      <c r="AX30" s="33">
        <f t="shared" si="13"/>
        <v>0</v>
      </c>
      <c r="AY30" s="47">
        <f t="shared" si="13"/>
        <v>75002</v>
      </c>
      <c r="AZ30" s="48">
        <f t="shared" si="14"/>
        <v>329017</v>
      </c>
      <c r="BA30" s="49">
        <f t="shared" si="14"/>
        <v>35274</v>
      </c>
      <c r="BB30" s="49">
        <f t="shared" si="14"/>
        <v>31545</v>
      </c>
      <c r="BC30" s="50">
        <f t="shared" si="11"/>
        <v>395836</v>
      </c>
      <c r="BD30" s="51"/>
    </row>
    <row r="31" spans="1:56" s="52" customFormat="1" ht="21.75" customHeight="1" x14ac:dyDescent="0.15">
      <c r="A31" s="53">
        <v>46105</v>
      </c>
      <c r="B31" s="27">
        <v>259874</v>
      </c>
      <c r="C31" s="28">
        <v>145000</v>
      </c>
      <c r="D31" s="29">
        <f>B31/C31</f>
        <v>1.7922344827586207</v>
      </c>
      <c r="E31" s="30">
        <v>0</v>
      </c>
      <c r="F31" s="31">
        <v>0</v>
      </c>
      <c r="G31" s="32">
        <f t="shared" si="0"/>
        <v>259874</v>
      </c>
      <c r="H31" s="33">
        <v>0</v>
      </c>
      <c r="I31" s="34">
        <v>0</v>
      </c>
      <c r="J31" s="35">
        <v>0</v>
      </c>
      <c r="K31" s="36">
        <v>0</v>
      </c>
      <c r="L31" s="37">
        <v>217626</v>
      </c>
      <c r="M31" s="38">
        <v>42248</v>
      </c>
      <c r="N31" s="38">
        <v>0</v>
      </c>
      <c r="O31" s="39">
        <f t="shared" si="1"/>
        <v>259874</v>
      </c>
      <c r="P31" s="40">
        <v>132410</v>
      </c>
      <c r="Q31" s="28">
        <v>70000</v>
      </c>
      <c r="R31" s="29">
        <f>P31/Q31</f>
        <v>1.8915714285714287</v>
      </c>
      <c r="S31" s="30">
        <v>21360</v>
      </c>
      <c r="T31" s="31">
        <v>0</v>
      </c>
      <c r="U31" s="32">
        <f t="shared" si="2"/>
        <v>153770</v>
      </c>
      <c r="V31" s="33">
        <v>0</v>
      </c>
      <c r="W31" s="34">
        <v>0</v>
      </c>
      <c r="X31" s="35">
        <v>0</v>
      </c>
      <c r="Y31" s="36">
        <v>0</v>
      </c>
      <c r="Z31" s="37">
        <v>80247</v>
      </c>
      <c r="AA31" s="38">
        <v>8000</v>
      </c>
      <c r="AB31" s="38">
        <v>44163</v>
      </c>
      <c r="AC31" s="39">
        <f t="shared" si="3"/>
        <v>132410</v>
      </c>
      <c r="AD31" s="45">
        <v>0</v>
      </c>
      <c r="AE31" s="28">
        <v>200000</v>
      </c>
      <c r="AF31" s="41">
        <f>AD31/AE31</f>
        <v>0</v>
      </c>
      <c r="AG31" s="32">
        <f t="shared" si="4"/>
        <v>0</v>
      </c>
      <c r="AH31" s="35">
        <v>0</v>
      </c>
      <c r="AI31" s="43">
        <v>0</v>
      </c>
      <c r="AJ31" s="35">
        <v>76492</v>
      </c>
      <c r="AK31" s="43">
        <v>0</v>
      </c>
      <c r="AL31" s="44">
        <v>0</v>
      </c>
      <c r="AM31" s="38">
        <v>0</v>
      </c>
      <c r="AN31" s="38">
        <v>0</v>
      </c>
      <c r="AO31" s="39">
        <f t="shared" si="5"/>
        <v>0</v>
      </c>
      <c r="AP31" s="40">
        <f t="shared" si="6"/>
        <v>392284</v>
      </c>
      <c r="AQ31" s="28">
        <v>415000</v>
      </c>
      <c r="AR31" s="41">
        <f>AP31/AQ31</f>
        <v>0.94526265060240966</v>
      </c>
      <c r="AS31" s="30">
        <f t="shared" si="15"/>
        <v>21360</v>
      </c>
      <c r="AT31" s="30">
        <f t="shared" si="15"/>
        <v>0</v>
      </c>
      <c r="AU31" s="42">
        <f t="shared" si="8"/>
        <v>413644</v>
      </c>
      <c r="AV31" s="33">
        <f t="shared" si="13"/>
        <v>0</v>
      </c>
      <c r="AW31" s="46">
        <f t="shared" si="13"/>
        <v>0</v>
      </c>
      <c r="AX31" s="33">
        <f t="shared" si="13"/>
        <v>76492</v>
      </c>
      <c r="AY31" s="46">
        <f t="shared" si="13"/>
        <v>0</v>
      </c>
      <c r="AZ31" s="48">
        <f t="shared" si="14"/>
        <v>297873</v>
      </c>
      <c r="BA31" s="49">
        <f t="shared" si="14"/>
        <v>50248</v>
      </c>
      <c r="BB31" s="49">
        <f t="shared" si="14"/>
        <v>44163</v>
      </c>
      <c r="BC31" s="50">
        <f t="shared" si="11"/>
        <v>392284</v>
      </c>
      <c r="BD31" s="51"/>
    </row>
    <row r="32" spans="1:56" s="52" customFormat="1" ht="21.75" customHeight="1" x14ac:dyDescent="0.15">
      <c r="A32" s="53">
        <v>46106</v>
      </c>
      <c r="B32" s="27">
        <v>136078</v>
      </c>
      <c r="C32" s="28">
        <v>145000</v>
      </c>
      <c r="D32" s="29">
        <f>B32/C32</f>
        <v>0.93846896551724135</v>
      </c>
      <c r="E32" s="30">
        <v>0</v>
      </c>
      <c r="F32" s="31">
        <v>0</v>
      </c>
      <c r="G32" s="32">
        <f t="shared" si="0"/>
        <v>136078</v>
      </c>
      <c r="H32" s="33">
        <v>0</v>
      </c>
      <c r="I32" s="34">
        <v>0</v>
      </c>
      <c r="J32" s="35">
        <v>0</v>
      </c>
      <c r="K32" s="36">
        <v>0</v>
      </c>
      <c r="L32" s="37">
        <v>136078</v>
      </c>
      <c r="M32" s="38">
        <v>0</v>
      </c>
      <c r="N32" s="38">
        <v>0</v>
      </c>
      <c r="O32" s="39">
        <f t="shared" si="1"/>
        <v>136078</v>
      </c>
      <c r="P32" s="40">
        <v>116647</v>
      </c>
      <c r="Q32" s="28">
        <v>70000</v>
      </c>
      <c r="R32" s="29">
        <f>P32/Q32</f>
        <v>1.6663857142857144</v>
      </c>
      <c r="S32" s="30">
        <v>0</v>
      </c>
      <c r="T32" s="31">
        <v>0</v>
      </c>
      <c r="U32" s="32">
        <f t="shared" si="2"/>
        <v>116647</v>
      </c>
      <c r="V32" s="33">
        <v>0</v>
      </c>
      <c r="W32" s="34">
        <v>0</v>
      </c>
      <c r="X32" s="35">
        <v>0</v>
      </c>
      <c r="Y32" s="36">
        <v>0</v>
      </c>
      <c r="Z32" s="37">
        <v>82329</v>
      </c>
      <c r="AA32" s="38">
        <v>0</v>
      </c>
      <c r="AB32" s="38">
        <v>34318</v>
      </c>
      <c r="AC32" s="39">
        <f t="shared" si="3"/>
        <v>116647</v>
      </c>
      <c r="AD32" s="45">
        <v>21360</v>
      </c>
      <c r="AE32" s="28">
        <v>200000</v>
      </c>
      <c r="AF32" s="41">
        <f>AD32/AE32</f>
        <v>0.10680000000000001</v>
      </c>
      <c r="AG32" s="32">
        <f t="shared" si="4"/>
        <v>21360</v>
      </c>
      <c r="AH32" s="35">
        <v>0</v>
      </c>
      <c r="AI32" s="43">
        <v>0</v>
      </c>
      <c r="AJ32" s="35">
        <v>0</v>
      </c>
      <c r="AK32" s="43">
        <v>0</v>
      </c>
      <c r="AL32" s="44">
        <v>7541</v>
      </c>
      <c r="AM32" s="38">
        <v>13819</v>
      </c>
      <c r="AN32" s="38">
        <v>0</v>
      </c>
      <c r="AO32" s="39">
        <f t="shared" si="5"/>
        <v>21360</v>
      </c>
      <c r="AP32" s="40">
        <f t="shared" si="6"/>
        <v>274085</v>
      </c>
      <c r="AQ32" s="28">
        <v>415000</v>
      </c>
      <c r="AR32" s="41">
        <f>AP32/AQ32</f>
        <v>0.66044578313253011</v>
      </c>
      <c r="AS32" s="30">
        <f t="shared" si="15"/>
        <v>0</v>
      </c>
      <c r="AT32" s="30">
        <f t="shared" si="15"/>
        <v>0</v>
      </c>
      <c r="AU32" s="42">
        <f t="shared" si="8"/>
        <v>274085</v>
      </c>
      <c r="AV32" s="33">
        <f t="shared" si="13"/>
        <v>0</v>
      </c>
      <c r="AW32" s="46">
        <f t="shared" si="13"/>
        <v>0</v>
      </c>
      <c r="AX32" s="33">
        <f t="shared" si="13"/>
        <v>0</v>
      </c>
      <c r="AY32" s="46">
        <f t="shared" si="13"/>
        <v>0</v>
      </c>
      <c r="AZ32" s="48">
        <f t="shared" si="14"/>
        <v>225948</v>
      </c>
      <c r="BA32" s="49">
        <f t="shared" si="14"/>
        <v>13819</v>
      </c>
      <c r="BB32" s="49">
        <f t="shared" si="14"/>
        <v>34318</v>
      </c>
      <c r="BC32" s="50">
        <f t="shared" si="11"/>
        <v>274085</v>
      </c>
      <c r="BD32" s="51"/>
    </row>
    <row r="33" spans="1:56" s="52" customFormat="1" ht="21.75" customHeight="1" x14ac:dyDescent="0.15">
      <c r="A33" s="53">
        <v>46107</v>
      </c>
      <c r="B33" s="27">
        <v>183975</v>
      </c>
      <c r="C33" s="28">
        <v>145000</v>
      </c>
      <c r="D33" s="29">
        <f>B33/C33</f>
        <v>1.2687931034482758</v>
      </c>
      <c r="E33" s="30">
        <v>0</v>
      </c>
      <c r="F33" s="31">
        <v>104513</v>
      </c>
      <c r="G33" s="32">
        <f t="shared" si="0"/>
        <v>288488</v>
      </c>
      <c r="H33" s="33">
        <v>0</v>
      </c>
      <c r="I33" s="34">
        <v>0</v>
      </c>
      <c r="J33" s="35">
        <v>0</v>
      </c>
      <c r="K33" s="36">
        <v>0</v>
      </c>
      <c r="L33" s="37">
        <v>158739</v>
      </c>
      <c r="M33" s="38">
        <v>0</v>
      </c>
      <c r="N33" s="38">
        <v>25236</v>
      </c>
      <c r="O33" s="39">
        <f t="shared" si="1"/>
        <v>183975</v>
      </c>
      <c r="P33" s="40">
        <v>125244</v>
      </c>
      <c r="Q33" s="28">
        <v>70000</v>
      </c>
      <c r="R33" s="29">
        <f>P33/Q33</f>
        <v>1.7891999999999999</v>
      </c>
      <c r="S33" s="30">
        <v>0</v>
      </c>
      <c r="T33" s="31">
        <v>35200</v>
      </c>
      <c r="U33" s="32">
        <f t="shared" si="2"/>
        <v>160444</v>
      </c>
      <c r="V33" s="33">
        <v>0</v>
      </c>
      <c r="W33" s="34">
        <v>0</v>
      </c>
      <c r="X33" s="35">
        <v>0</v>
      </c>
      <c r="Y33" s="36">
        <v>0</v>
      </c>
      <c r="Z33" s="37">
        <v>72690</v>
      </c>
      <c r="AA33" s="38">
        <v>20004</v>
      </c>
      <c r="AB33" s="38">
        <v>32550</v>
      </c>
      <c r="AC33" s="39">
        <f t="shared" si="3"/>
        <v>125244</v>
      </c>
      <c r="AD33" s="45">
        <v>14158</v>
      </c>
      <c r="AE33" s="28">
        <v>200000</v>
      </c>
      <c r="AF33" s="41">
        <f>AD33/AE33</f>
        <v>7.0790000000000006E-2</v>
      </c>
      <c r="AG33" s="32">
        <f t="shared" si="4"/>
        <v>14158</v>
      </c>
      <c r="AH33" s="35">
        <v>0</v>
      </c>
      <c r="AI33" s="43">
        <v>0</v>
      </c>
      <c r="AJ33" s="35">
        <v>0</v>
      </c>
      <c r="AK33" s="43">
        <v>0</v>
      </c>
      <c r="AL33" s="44">
        <v>14158</v>
      </c>
      <c r="AM33" s="38">
        <v>0</v>
      </c>
      <c r="AN33" s="38">
        <v>0</v>
      </c>
      <c r="AO33" s="39">
        <f t="shared" si="5"/>
        <v>14158</v>
      </c>
      <c r="AP33" s="40">
        <f t="shared" si="6"/>
        <v>323377</v>
      </c>
      <c r="AQ33" s="28">
        <v>415000</v>
      </c>
      <c r="AR33" s="41">
        <f>AP33/AQ33</f>
        <v>0.779221686746988</v>
      </c>
      <c r="AS33" s="30">
        <f t="shared" si="15"/>
        <v>0</v>
      </c>
      <c r="AT33" s="30">
        <f t="shared" si="15"/>
        <v>139713</v>
      </c>
      <c r="AU33" s="42">
        <f t="shared" si="8"/>
        <v>463090</v>
      </c>
      <c r="AV33" s="33">
        <f t="shared" si="13"/>
        <v>0</v>
      </c>
      <c r="AW33" s="46">
        <f t="shared" si="13"/>
        <v>0</v>
      </c>
      <c r="AX33" s="33">
        <f t="shared" si="13"/>
        <v>0</v>
      </c>
      <c r="AY33" s="47">
        <f t="shared" si="13"/>
        <v>0</v>
      </c>
      <c r="AZ33" s="48">
        <f t="shared" si="14"/>
        <v>245587</v>
      </c>
      <c r="BA33" s="49">
        <f t="shared" si="14"/>
        <v>20004</v>
      </c>
      <c r="BB33" s="49">
        <f t="shared" si="14"/>
        <v>57786</v>
      </c>
      <c r="BC33" s="50">
        <f t="shared" si="11"/>
        <v>323377</v>
      </c>
      <c r="BD33" s="51"/>
    </row>
    <row r="34" spans="1:56" s="52" customFormat="1" ht="21.75" customHeight="1" x14ac:dyDescent="0.15">
      <c r="A34" s="53">
        <v>46108</v>
      </c>
      <c r="B34" s="27">
        <v>146606</v>
      </c>
      <c r="C34" s="28">
        <v>145000</v>
      </c>
      <c r="D34" s="29">
        <f>B34/C34</f>
        <v>1.0110758620689655</v>
      </c>
      <c r="E34" s="30">
        <v>0</v>
      </c>
      <c r="F34" s="31">
        <v>179483</v>
      </c>
      <c r="G34" s="32">
        <f t="shared" si="0"/>
        <v>326089</v>
      </c>
      <c r="H34" s="33">
        <v>0</v>
      </c>
      <c r="I34" s="34">
        <v>0</v>
      </c>
      <c r="J34" s="35">
        <v>0</v>
      </c>
      <c r="K34" s="36">
        <v>0</v>
      </c>
      <c r="L34" s="37">
        <v>117301</v>
      </c>
      <c r="M34" s="38">
        <v>16687</v>
      </c>
      <c r="N34" s="38">
        <v>12618</v>
      </c>
      <c r="O34" s="39">
        <f t="shared" si="1"/>
        <v>146606</v>
      </c>
      <c r="P34" s="40">
        <v>32278</v>
      </c>
      <c r="Q34" s="28">
        <v>70000</v>
      </c>
      <c r="R34" s="29">
        <f>P34/Q34</f>
        <v>0.4611142857142857</v>
      </c>
      <c r="S34" s="30">
        <v>77225</v>
      </c>
      <c r="T34" s="31">
        <v>0</v>
      </c>
      <c r="U34" s="32">
        <f t="shared" si="2"/>
        <v>109503</v>
      </c>
      <c r="V34" s="33">
        <v>0</v>
      </c>
      <c r="W34" s="34">
        <v>0</v>
      </c>
      <c r="X34" s="35">
        <v>0</v>
      </c>
      <c r="Y34" s="36">
        <v>0</v>
      </c>
      <c r="Z34" s="37">
        <v>32278</v>
      </c>
      <c r="AA34" s="38">
        <v>0</v>
      </c>
      <c r="AB34" s="38">
        <v>0</v>
      </c>
      <c r="AC34" s="39">
        <f t="shared" si="3"/>
        <v>32278</v>
      </c>
      <c r="AD34" s="45">
        <v>0</v>
      </c>
      <c r="AE34" s="28">
        <v>200000</v>
      </c>
      <c r="AF34" s="41">
        <f>AD34/AE34</f>
        <v>0</v>
      </c>
      <c r="AG34" s="32">
        <f t="shared" si="4"/>
        <v>0</v>
      </c>
      <c r="AH34" s="35">
        <v>0</v>
      </c>
      <c r="AI34" s="43">
        <v>0</v>
      </c>
      <c r="AJ34" s="35">
        <v>70476</v>
      </c>
      <c r="AK34" s="43">
        <v>0</v>
      </c>
      <c r="AL34" s="44">
        <v>0</v>
      </c>
      <c r="AM34" s="38">
        <v>0</v>
      </c>
      <c r="AN34" s="38">
        <v>0</v>
      </c>
      <c r="AO34" s="39">
        <f t="shared" si="5"/>
        <v>0</v>
      </c>
      <c r="AP34" s="40">
        <f t="shared" si="6"/>
        <v>178884</v>
      </c>
      <c r="AQ34" s="28">
        <v>415000</v>
      </c>
      <c r="AR34" s="41">
        <f>AP34/AQ34</f>
        <v>0.43104578313253011</v>
      </c>
      <c r="AS34" s="30">
        <f t="shared" si="15"/>
        <v>77225</v>
      </c>
      <c r="AT34" s="30">
        <f t="shared" si="15"/>
        <v>179483</v>
      </c>
      <c r="AU34" s="42">
        <f t="shared" si="8"/>
        <v>435592</v>
      </c>
      <c r="AV34" s="33">
        <f t="shared" si="13"/>
        <v>0</v>
      </c>
      <c r="AW34" s="46">
        <f t="shared" si="13"/>
        <v>0</v>
      </c>
      <c r="AX34" s="33">
        <f t="shared" si="13"/>
        <v>70476</v>
      </c>
      <c r="AY34" s="47">
        <f t="shared" si="13"/>
        <v>0</v>
      </c>
      <c r="AZ34" s="48">
        <f t="shared" si="14"/>
        <v>149579</v>
      </c>
      <c r="BA34" s="49">
        <f t="shared" si="14"/>
        <v>16687</v>
      </c>
      <c r="BB34" s="49">
        <f t="shared" si="14"/>
        <v>12618</v>
      </c>
      <c r="BC34" s="50">
        <f t="shared" si="11"/>
        <v>178884</v>
      </c>
      <c r="BD34" s="51"/>
    </row>
    <row r="35" spans="1:56" s="52" customFormat="1" ht="21.75" customHeight="1" x14ac:dyDescent="0.15">
      <c r="A35" s="26">
        <v>46109</v>
      </c>
      <c r="B35" s="27">
        <v>0</v>
      </c>
      <c r="C35" s="28">
        <v>0</v>
      </c>
      <c r="D35" s="29">
        <v>0</v>
      </c>
      <c r="E35" s="30">
        <v>0</v>
      </c>
      <c r="F35" s="31">
        <v>0</v>
      </c>
      <c r="G35" s="32">
        <f t="shared" si="0"/>
        <v>0</v>
      </c>
      <c r="H35" s="33">
        <v>0</v>
      </c>
      <c r="I35" s="34">
        <v>0</v>
      </c>
      <c r="J35" s="35">
        <v>0</v>
      </c>
      <c r="K35" s="36">
        <v>0</v>
      </c>
      <c r="L35" s="37">
        <v>0</v>
      </c>
      <c r="M35" s="38">
        <v>0</v>
      </c>
      <c r="N35" s="38">
        <v>0</v>
      </c>
      <c r="O35" s="39">
        <f t="shared" si="1"/>
        <v>0</v>
      </c>
      <c r="P35" s="40">
        <v>0</v>
      </c>
      <c r="Q35" s="28">
        <v>0</v>
      </c>
      <c r="R35" s="29">
        <v>0</v>
      </c>
      <c r="S35" s="30">
        <v>0</v>
      </c>
      <c r="T35" s="31">
        <v>0</v>
      </c>
      <c r="U35" s="32">
        <f t="shared" si="2"/>
        <v>0</v>
      </c>
      <c r="V35" s="33">
        <v>0</v>
      </c>
      <c r="W35" s="34">
        <v>0</v>
      </c>
      <c r="X35" s="35">
        <v>0</v>
      </c>
      <c r="Y35" s="36">
        <v>0</v>
      </c>
      <c r="Z35" s="37">
        <v>0</v>
      </c>
      <c r="AA35" s="38">
        <v>0</v>
      </c>
      <c r="AB35" s="38">
        <v>0</v>
      </c>
      <c r="AC35" s="39">
        <f t="shared" si="3"/>
        <v>0</v>
      </c>
      <c r="AD35" s="45">
        <v>0</v>
      </c>
      <c r="AE35" s="28">
        <v>0</v>
      </c>
      <c r="AF35" s="41">
        <v>0</v>
      </c>
      <c r="AG35" s="32">
        <f t="shared" si="4"/>
        <v>0</v>
      </c>
      <c r="AH35" s="35">
        <v>0</v>
      </c>
      <c r="AI35" s="43">
        <v>0</v>
      </c>
      <c r="AJ35" s="35">
        <v>0</v>
      </c>
      <c r="AK35" s="43">
        <v>0</v>
      </c>
      <c r="AL35" s="44">
        <v>0</v>
      </c>
      <c r="AM35" s="38">
        <v>0</v>
      </c>
      <c r="AN35" s="38">
        <v>0</v>
      </c>
      <c r="AO35" s="39">
        <f t="shared" si="5"/>
        <v>0</v>
      </c>
      <c r="AP35" s="40">
        <f t="shared" si="6"/>
        <v>0</v>
      </c>
      <c r="AQ35" s="28">
        <v>0</v>
      </c>
      <c r="AR35" s="41">
        <v>0</v>
      </c>
      <c r="AS35" s="30">
        <f t="shared" si="15"/>
        <v>0</v>
      </c>
      <c r="AT35" s="30">
        <f t="shared" si="15"/>
        <v>0</v>
      </c>
      <c r="AU35" s="42">
        <f t="shared" si="8"/>
        <v>0</v>
      </c>
      <c r="AV35" s="33">
        <f t="shared" si="13"/>
        <v>0</v>
      </c>
      <c r="AW35" s="46">
        <f t="shared" si="13"/>
        <v>0</v>
      </c>
      <c r="AX35" s="33">
        <f t="shared" si="13"/>
        <v>0</v>
      </c>
      <c r="AY35" s="46">
        <f t="shared" si="13"/>
        <v>0</v>
      </c>
      <c r="AZ35" s="48">
        <f t="shared" si="14"/>
        <v>0</v>
      </c>
      <c r="BA35" s="49">
        <f t="shared" si="14"/>
        <v>0</v>
      </c>
      <c r="BB35" s="49">
        <f t="shared" si="14"/>
        <v>0</v>
      </c>
      <c r="BC35" s="50">
        <f t="shared" si="11"/>
        <v>0</v>
      </c>
      <c r="BD35" s="51"/>
    </row>
    <row r="36" spans="1:56" s="52" customFormat="1" ht="21.75" customHeight="1" x14ac:dyDescent="0.15">
      <c r="A36" s="26">
        <v>46110</v>
      </c>
      <c r="B36" s="27">
        <v>0</v>
      </c>
      <c r="C36" s="28">
        <v>0</v>
      </c>
      <c r="D36" s="29">
        <v>0</v>
      </c>
      <c r="E36" s="30">
        <v>0</v>
      </c>
      <c r="F36" s="31">
        <v>0</v>
      </c>
      <c r="G36" s="32">
        <f t="shared" si="0"/>
        <v>0</v>
      </c>
      <c r="H36" s="33">
        <v>0</v>
      </c>
      <c r="I36" s="34">
        <v>0</v>
      </c>
      <c r="J36" s="35">
        <v>0</v>
      </c>
      <c r="K36" s="36">
        <v>0</v>
      </c>
      <c r="L36" s="37">
        <v>0</v>
      </c>
      <c r="M36" s="38">
        <v>0</v>
      </c>
      <c r="N36" s="38">
        <v>0</v>
      </c>
      <c r="O36" s="39">
        <f t="shared" si="1"/>
        <v>0</v>
      </c>
      <c r="P36" s="40">
        <v>0</v>
      </c>
      <c r="Q36" s="28">
        <v>0</v>
      </c>
      <c r="R36" s="29">
        <v>0</v>
      </c>
      <c r="S36" s="30">
        <v>0</v>
      </c>
      <c r="T36" s="31">
        <v>0</v>
      </c>
      <c r="U36" s="32">
        <f t="shared" si="2"/>
        <v>0</v>
      </c>
      <c r="V36" s="33">
        <v>0</v>
      </c>
      <c r="W36" s="34">
        <v>0</v>
      </c>
      <c r="X36" s="35">
        <v>0</v>
      </c>
      <c r="Y36" s="36">
        <v>0</v>
      </c>
      <c r="Z36" s="37">
        <v>0</v>
      </c>
      <c r="AA36" s="38">
        <v>0</v>
      </c>
      <c r="AB36" s="38">
        <v>0</v>
      </c>
      <c r="AC36" s="39">
        <f t="shared" si="3"/>
        <v>0</v>
      </c>
      <c r="AD36" s="45">
        <v>0</v>
      </c>
      <c r="AE36" s="28">
        <v>0</v>
      </c>
      <c r="AF36" s="41">
        <v>0</v>
      </c>
      <c r="AG36" s="32">
        <f t="shared" si="4"/>
        <v>0</v>
      </c>
      <c r="AH36" s="35">
        <v>0</v>
      </c>
      <c r="AI36" s="43">
        <v>0</v>
      </c>
      <c r="AJ36" s="35">
        <v>0</v>
      </c>
      <c r="AK36" s="43">
        <v>0</v>
      </c>
      <c r="AL36" s="44">
        <v>0</v>
      </c>
      <c r="AM36" s="38">
        <v>0</v>
      </c>
      <c r="AN36" s="38">
        <v>0</v>
      </c>
      <c r="AO36" s="39">
        <f t="shared" si="5"/>
        <v>0</v>
      </c>
      <c r="AP36" s="40">
        <f t="shared" si="6"/>
        <v>0</v>
      </c>
      <c r="AQ36" s="28">
        <v>0</v>
      </c>
      <c r="AR36" s="41">
        <v>0</v>
      </c>
      <c r="AS36" s="30">
        <f t="shared" si="15"/>
        <v>0</v>
      </c>
      <c r="AT36" s="30">
        <f t="shared" si="15"/>
        <v>0</v>
      </c>
      <c r="AU36" s="42">
        <f t="shared" si="8"/>
        <v>0</v>
      </c>
      <c r="AV36" s="33">
        <f t="shared" si="13"/>
        <v>0</v>
      </c>
      <c r="AW36" s="46">
        <f t="shared" si="13"/>
        <v>0</v>
      </c>
      <c r="AX36" s="33">
        <f t="shared" si="13"/>
        <v>0</v>
      </c>
      <c r="AY36" s="46">
        <f t="shared" si="13"/>
        <v>0</v>
      </c>
      <c r="AZ36" s="48">
        <f t="shared" si="14"/>
        <v>0</v>
      </c>
      <c r="BA36" s="49">
        <f t="shared" si="14"/>
        <v>0</v>
      </c>
      <c r="BB36" s="49">
        <f t="shared" si="14"/>
        <v>0</v>
      </c>
      <c r="BC36" s="50">
        <f t="shared" si="11"/>
        <v>0</v>
      </c>
      <c r="BD36" s="51"/>
    </row>
    <row r="37" spans="1:56" s="52" customFormat="1" ht="21.75" customHeight="1" x14ac:dyDescent="0.15">
      <c r="A37" s="53">
        <v>46111</v>
      </c>
      <c r="B37" s="27">
        <v>192573</v>
      </c>
      <c r="C37" s="28">
        <v>145000</v>
      </c>
      <c r="D37" s="29">
        <f>B37/C37</f>
        <v>1.3280896551724137</v>
      </c>
      <c r="E37" s="30">
        <v>0</v>
      </c>
      <c r="F37" s="31">
        <v>78783</v>
      </c>
      <c r="G37" s="32">
        <f t="shared" si="0"/>
        <v>271356</v>
      </c>
      <c r="H37" s="33">
        <v>0</v>
      </c>
      <c r="I37" s="34">
        <v>0</v>
      </c>
      <c r="J37" s="35">
        <v>0</v>
      </c>
      <c r="K37" s="36">
        <v>0</v>
      </c>
      <c r="L37" s="37">
        <v>166527</v>
      </c>
      <c r="M37" s="38">
        <v>26046</v>
      </c>
      <c r="N37" s="38">
        <v>0</v>
      </c>
      <c r="O37" s="39">
        <f t="shared" si="1"/>
        <v>192573</v>
      </c>
      <c r="P37" s="40">
        <v>33788</v>
      </c>
      <c r="Q37" s="28">
        <v>70000</v>
      </c>
      <c r="R37" s="29">
        <f>P37/Q37</f>
        <v>0.48268571428571427</v>
      </c>
      <c r="S37" s="30">
        <v>38180</v>
      </c>
      <c r="T37" s="31">
        <v>0</v>
      </c>
      <c r="U37" s="32">
        <f t="shared" si="2"/>
        <v>71968</v>
      </c>
      <c r="V37" s="33">
        <v>0</v>
      </c>
      <c r="W37" s="34">
        <v>0</v>
      </c>
      <c r="X37" s="35">
        <v>0</v>
      </c>
      <c r="Y37" s="36">
        <v>0</v>
      </c>
      <c r="Z37" s="37">
        <v>33788</v>
      </c>
      <c r="AA37" s="38">
        <v>0</v>
      </c>
      <c r="AB37" s="38">
        <v>0</v>
      </c>
      <c r="AC37" s="39">
        <f t="shared" si="3"/>
        <v>33788</v>
      </c>
      <c r="AD37" s="45">
        <v>103527</v>
      </c>
      <c r="AE37" s="28">
        <v>200000</v>
      </c>
      <c r="AF37" s="41">
        <f>AD37/AE37</f>
        <v>0.51763499999999996</v>
      </c>
      <c r="AG37" s="32">
        <f t="shared" si="4"/>
        <v>103527</v>
      </c>
      <c r="AH37" s="35">
        <v>0</v>
      </c>
      <c r="AI37" s="43">
        <v>0</v>
      </c>
      <c r="AJ37" s="35">
        <v>0</v>
      </c>
      <c r="AK37" s="43">
        <v>0</v>
      </c>
      <c r="AL37" s="44">
        <v>75770</v>
      </c>
      <c r="AM37" s="38">
        <v>27757</v>
      </c>
      <c r="AN37" s="38">
        <v>0</v>
      </c>
      <c r="AO37" s="39">
        <f t="shared" si="5"/>
        <v>103527</v>
      </c>
      <c r="AP37" s="40">
        <f t="shared" si="6"/>
        <v>329888</v>
      </c>
      <c r="AQ37" s="28">
        <v>415000</v>
      </c>
      <c r="AR37" s="41">
        <f>AP37/AQ37</f>
        <v>0.79491084337349394</v>
      </c>
      <c r="AS37" s="30">
        <f t="shared" si="15"/>
        <v>38180</v>
      </c>
      <c r="AT37" s="30">
        <f t="shared" si="15"/>
        <v>78783</v>
      </c>
      <c r="AU37" s="42">
        <f t="shared" si="8"/>
        <v>446851</v>
      </c>
      <c r="AV37" s="33">
        <f t="shared" si="13"/>
        <v>0</v>
      </c>
      <c r="AW37" s="46">
        <f t="shared" si="13"/>
        <v>0</v>
      </c>
      <c r="AX37" s="33">
        <f t="shared" si="13"/>
        <v>0</v>
      </c>
      <c r="AY37" s="47">
        <f t="shared" si="13"/>
        <v>0</v>
      </c>
      <c r="AZ37" s="48">
        <f t="shared" si="14"/>
        <v>276085</v>
      </c>
      <c r="BA37" s="49">
        <f t="shared" si="14"/>
        <v>53803</v>
      </c>
      <c r="BB37" s="49">
        <f t="shared" si="14"/>
        <v>0</v>
      </c>
      <c r="BC37" s="50">
        <f t="shared" si="11"/>
        <v>329888</v>
      </c>
      <c r="BD37" s="51"/>
    </row>
    <row r="38" spans="1:56" s="52" customFormat="1" ht="21.75" customHeight="1" thickBot="1" x14ac:dyDescent="0.2">
      <c r="A38" s="53">
        <v>46112</v>
      </c>
      <c r="B38" s="27">
        <v>153139</v>
      </c>
      <c r="C38" s="28">
        <v>145000</v>
      </c>
      <c r="D38" s="29">
        <f>B38/C38</f>
        <v>1.0561310344827586</v>
      </c>
      <c r="E38" s="30">
        <v>10789</v>
      </c>
      <c r="F38" s="31">
        <v>0</v>
      </c>
      <c r="G38" s="32">
        <f t="shared" si="0"/>
        <v>163928</v>
      </c>
      <c r="H38" s="33">
        <v>0</v>
      </c>
      <c r="I38" s="34">
        <v>0</v>
      </c>
      <c r="J38" s="35">
        <v>0</v>
      </c>
      <c r="K38" s="36">
        <v>0</v>
      </c>
      <c r="L38" s="37">
        <v>74568</v>
      </c>
      <c r="M38" s="38">
        <v>72262</v>
      </c>
      <c r="N38" s="38">
        <v>6309</v>
      </c>
      <c r="O38" s="39">
        <f t="shared" si="1"/>
        <v>153139</v>
      </c>
      <c r="P38" s="40">
        <v>44297</v>
      </c>
      <c r="Q38" s="28">
        <v>70000</v>
      </c>
      <c r="R38" s="29">
        <f>P38/Q38</f>
        <v>0.63281428571428566</v>
      </c>
      <c r="S38" s="30">
        <v>0</v>
      </c>
      <c r="T38" s="31">
        <v>17350</v>
      </c>
      <c r="U38" s="32">
        <f t="shared" si="2"/>
        <v>61647</v>
      </c>
      <c r="V38" s="33">
        <v>0</v>
      </c>
      <c r="W38" s="34">
        <v>0</v>
      </c>
      <c r="X38" s="35">
        <v>0</v>
      </c>
      <c r="Y38" s="36">
        <v>6091</v>
      </c>
      <c r="Z38" s="37">
        <v>44297</v>
      </c>
      <c r="AA38" s="38">
        <v>0</v>
      </c>
      <c r="AB38" s="38">
        <v>0</v>
      </c>
      <c r="AC38" s="39">
        <f t="shared" si="3"/>
        <v>44297</v>
      </c>
      <c r="AD38" s="45">
        <v>11878</v>
      </c>
      <c r="AE38" s="28">
        <v>200000</v>
      </c>
      <c r="AF38" s="41">
        <f>AD38/AE38</f>
        <v>5.9389999999999998E-2</v>
      </c>
      <c r="AG38" s="32">
        <f t="shared" si="4"/>
        <v>11878</v>
      </c>
      <c r="AH38" s="35">
        <v>0</v>
      </c>
      <c r="AI38" s="43">
        <v>0</v>
      </c>
      <c r="AJ38" s="35">
        <f>52361+4512</f>
        <v>56873</v>
      </c>
      <c r="AK38" s="43">
        <v>0</v>
      </c>
      <c r="AL38" s="44">
        <v>11878</v>
      </c>
      <c r="AM38" s="38">
        <v>0</v>
      </c>
      <c r="AN38" s="38">
        <v>0</v>
      </c>
      <c r="AO38" s="39">
        <f t="shared" si="5"/>
        <v>11878</v>
      </c>
      <c r="AP38" s="40">
        <f t="shared" si="6"/>
        <v>209314</v>
      </c>
      <c r="AQ38" s="28">
        <v>415000</v>
      </c>
      <c r="AR38" s="41">
        <f>AP38/AQ38</f>
        <v>0.50437108433734945</v>
      </c>
      <c r="AS38" s="30">
        <f t="shared" si="15"/>
        <v>10789</v>
      </c>
      <c r="AT38" s="30">
        <f t="shared" si="15"/>
        <v>17350</v>
      </c>
      <c r="AU38" s="42">
        <f t="shared" si="8"/>
        <v>237453</v>
      </c>
      <c r="AV38" s="33">
        <f t="shared" si="13"/>
        <v>0</v>
      </c>
      <c r="AW38" s="46">
        <f t="shared" si="13"/>
        <v>0</v>
      </c>
      <c r="AX38" s="33">
        <f t="shared" si="13"/>
        <v>56873</v>
      </c>
      <c r="AY38" s="46">
        <f t="shared" si="13"/>
        <v>6091</v>
      </c>
      <c r="AZ38" s="48">
        <f t="shared" si="14"/>
        <v>130743</v>
      </c>
      <c r="BA38" s="49">
        <f t="shared" si="14"/>
        <v>72262</v>
      </c>
      <c r="BB38" s="49">
        <f t="shared" si="14"/>
        <v>6309</v>
      </c>
      <c r="BC38" s="50">
        <f t="shared" si="11"/>
        <v>209314</v>
      </c>
      <c r="BD38" s="51"/>
    </row>
    <row r="39" spans="1:56" s="10" customFormat="1" ht="21.75" customHeight="1" thickTop="1" thickBot="1" x14ac:dyDescent="0.2">
      <c r="A39" s="54" t="s">
        <v>26</v>
      </c>
      <c r="B39" s="55">
        <f>SUM(B8:B38)</f>
        <v>3816065</v>
      </c>
      <c r="C39" s="56">
        <f>SUM(C8:C38)</f>
        <v>3045000</v>
      </c>
      <c r="D39" s="57">
        <f>B39/C39</f>
        <v>1.2532233169129721</v>
      </c>
      <c r="E39" s="58">
        <f>SUM(E8:E38)</f>
        <v>1595610</v>
      </c>
      <c r="F39" s="59">
        <f>SUM(F8:F38)</f>
        <v>2525795</v>
      </c>
      <c r="G39" s="60">
        <f>B39+E39+F39</f>
        <v>7937470</v>
      </c>
      <c r="H39" s="61">
        <f t="shared" ref="H39:N39" si="16">SUM(H8:H38)</f>
        <v>0</v>
      </c>
      <c r="I39" s="62">
        <f t="shared" si="16"/>
        <v>0</v>
      </c>
      <c r="J39" s="61">
        <f t="shared" si="16"/>
        <v>46600</v>
      </c>
      <c r="K39" s="62">
        <f t="shared" si="16"/>
        <v>123804</v>
      </c>
      <c r="L39" s="63">
        <f t="shared" si="16"/>
        <v>3107534</v>
      </c>
      <c r="M39" s="63">
        <f t="shared" si="16"/>
        <v>642374</v>
      </c>
      <c r="N39" s="63">
        <f t="shared" si="16"/>
        <v>66157</v>
      </c>
      <c r="O39" s="64">
        <f>SUM(L39:N39)</f>
        <v>3816065</v>
      </c>
      <c r="P39" s="65">
        <f>SUM(P8:P38)</f>
        <v>1815041</v>
      </c>
      <c r="Q39" s="56">
        <f>SUM(Q8:Q38)</f>
        <v>1470000</v>
      </c>
      <c r="R39" s="57">
        <f>P39/Q39</f>
        <v>1.234721768707483</v>
      </c>
      <c r="S39" s="58">
        <f>SUM(S8:S38)</f>
        <v>298803</v>
      </c>
      <c r="T39" s="59">
        <f>SUM(T8:T38)</f>
        <v>183850</v>
      </c>
      <c r="U39" s="60">
        <f>P39+S39+T39</f>
        <v>2297694</v>
      </c>
      <c r="V39" s="61">
        <f t="shared" ref="V39:AB39" si="17">SUM(V8:V38)</f>
        <v>0</v>
      </c>
      <c r="W39" s="62">
        <f t="shared" si="17"/>
        <v>0</v>
      </c>
      <c r="X39" s="61">
        <f t="shared" si="17"/>
        <v>9774</v>
      </c>
      <c r="Y39" s="62">
        <f t="shared" si="17"/>
        <v>22875</v>
      </c>
      <c r="Z39" s="63">
        <f t="shared" si="17"/>
        <v>1243145</v>
      </c>
      <c r="AA39" s="63">
        <f t="shared" si="17"/>
        <v>229194</v>
      </c>
      <c r="AB39" s="63">
        <f t="shared" si="17"/>
        <v>342702</v>
      </c>
      <c r="AC39" s="64">
        <f>SUM(Z39:AB39)</f>
        <v>1815041</v>
      </c>
      <c r="AD39" s="69">
        <f t="shared" ref="AD39:AE39" si="18">SUM(AD8:AD38)</f>
        <v>1921361</v>
      </c>
      <c r="AE39" s="56">
        <f t="shared" si="18"/>
        <v>4200000</v>
      </c>
      <c r="AF39" s="57">
        <f>AD39/AE39</f>
        <v>0.45746690476190477</v>
      </c>
      <c r="AG39" s="60">
        <f t="shared" ref="AG39:AQ39" si="19">SUM(AG8:AG38)</f>
        <v>1921361</v>
      </c>
      <c r="AH39" s="61">
        <f t="shared" si="19"/>
        <v>0</v>
      </c>
      <c r="AI39" s="62">
        <f t="shared" si="19"/>
        <v>0</v>
      </c>
      <c r="AJ39" s="61">
        <f t="shared" si="19"/>
        <v>232572</v>
      </c>
      <c r="AK39" s="62">
        <f t="shared" si="19"/>
        <v>55916</v>
      </c>
      <c r="AL39" s="63">
        <f t="shared" si="19"/>
        <v>1671892</v>
      </c>
      <c r="AM39" s="63">
        <f t="shared" si="19"/>
        <v>204218</v>
      </c>
      <c r="AN39" s="63">
        <f t="shared" si="19"/>
        <v>45251</v>
      </c>
      <c r="AO39" s="70">
        <f t="shared" si="19"/>
        <v>1921361</v>
      </c>
      <c r="AP39" s="71">
        <f t="shared" si="19"/>
        <v>7552467</v>
      </c>
      <c r="AQ39" s="56">
        <f t="shared" si="19"/>
        <v>8715000</v>
      </c>
      <c r="AR39" s="97">
        <f>AP39/AQ39</f>
        <v>0.86660550774526679</v>
      </c>
      <c r="AS39" s="58">
        <f t="shared" ref="AS39:BB39" si="20">SUM(AS8:AS38)</f>
        <v>1894413</v>
      </c>
      <c r="AT39" s="58">
        <f t="shared" si="20"/>
        <v>2709645</v>
      </c>
      <c r="AU39" s="72">
        <f t="shared" si="20"/>
        <v>12156525</v>
      </c>
      <c r="AV39" s="61">
        <f t="shared" si="20"/>
        <v>0</v>
      </c>
      <c r="AW39" s="73">
        <f t="shared" si="20"/>
        <v>0</v>
      </c>
      <c r="AX39" s="61">
        <f t="shared" si="20"/>
        <v>288946</v>
      </c>
      <c r="AY39" s="73">
        <f t="shared" si="20"/>
        <v>202595</v>
      </c>
      <c r="AZ39" s="74">
        <f t="shared" si="20"/>
        <v>6022571</v>
      </c>
      <c r="BA39" s="75">
        <f t="shared" si="20"/>
        <v>1075786</v>
      </c>
      <c r="BB39" s="75">
        <f t="shared" si="20"/>
        <v>454110</v>
      </c>
      <c r="BC39" s="64">
        <f>SUM(AZ39:BB39)</f>
        <v>7552467</v>
      </c>
      <c r="BD39" s="76">
        <f>SUM(BD8:BD38)</f>
        <v>0</v>
      </c>
    </row>
    <row r="40" spans="1:56" x14ac:dyDescent="0.15">
      <c r="B40" s="78"/>
      <c r="C40" s="78"/>
      <c r="D40" s="78"/>
      <c r="E40" s="78"/>
      <c r="P40" s="78"/>
      <c r="R40" s="78"/>
      <c r="S40" s="78"/>
    </row>
    <row r="41" spans="1:56" ht="20.25" x14ac:dyDescent="0.2">
      <c r="D41" s="77" ph="1"/>
      <c r="R41" s="77" ph="1"/>
    </row>
    <row r="42" spans="1:56" ht="20.25" x14ac:dyDescent="0.2">
      <c r="D42" s="77" ph="1"/>
      <c r="R42" s="77" ph="1"/>
    </row>
    <row r="43" spans="1:56" ht="20.25" x14ac:dyDescent="0.2">
      <c r="D43" s="77" ph="1"/>
      <c r="R43" s="77" ph="1"/>
    </row>
    <row r="44" spans="1:56" ht="20.25" x14ac:dyDescent="0.2">
      <c r="D44" s="77" ph="1"/>
      <c r="R44" s="77" ph="1"/>
    </row>
    <row r="45" spans="1:56" ht="20.25" x14ac:dyDescent="0.2">
      <c r="D45" s="77" ph="1"/>
      <c r="R45" s="77" ph="1"/>
    </row>
    <row r="46" spans="1:56" ht="20.25" x14ac:dyDescent="0.2">
      <c r="D46" s="77" ph="1"/>
      <c r="R46" s="77" ph="1"/>
    </row>
  </sheetData>
  <customSheetViews>
    <customSheetView guid="{92DE7E81-188B-400C-BE95-FD63ABDF8569}" scale="85" printArea="1" showRuler="0">
      <pane xSplit="1" ySplit="7" topLeftCell="AJ23" activePane="bottomRight" state="frozen"/>
      <selection pane="bottomRight" activeCell="AK11" sqref="AK11:BD19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70" printArea="1" hiddenColumns="1" view="pageBreakPreview" showRuler="0">
      <pane xSplit="1" ySplit="7" topLeftCell="B20" activePane="bottomRight" state="frozen"/>
      <selection pane="bottomRight" activeCell="AZ1" sqref="AZ1:BD1048576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85" printArea="1" showRuler="0">
      <pane xSplit="1" ySplit="7" topLeftCell="B23" activePane="bottomRight" state="frozen"/>
      <selection pane="bottomRight" activeCell="B35" sqref="B35:BC36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85" showRuler="0">
      <pane xSplit="1" ySplit="7" topLeftCell="B23" activePane="bottomRight" state="frozen"/>
      <selection pane="bottomRight" activeCell="B35" sqref="B35:BC36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0">
    <mergeCell ref="AZ5:BC5"/>
    <mergeCell ref="BD5:BD7"/>
    <mergeCell ref="U6:U7"/>
    <mergeCell ref="V6:W6"/>
    <mergeCell ref="X6:Y6"/>
    <mergeCell ref="Z6:AC6"/>
    <mergeCell ref="AD6:AF6"/>
    <mergeCell ref="AU6:AU7"/>
    <mergeCell ref="AV6:AW6"/>
    <mergeCell ref="AX6:AY6"/>
    <mergeCell ref="AZ6:BC6"/>
    <mergeCell ref="AH6:AI6"/>
    <mergeCell ref="AJ6:AK6"/>
    <mergeCell ref="AL6:AO6"/>
    <mergeCell ref="V5:AC5"/>
    <mergeCell ref="AD5:AG5"/>
    <mergeCell ref="J6:K6"/>
    <mergeCell ref="A5:A7"/>
    <mergeCell ref="B5:G5"/>
    <mergeCell ref="H5:O5"/>
    <mergeCell ref="P5:U5"/>
    <mergeCell ref="B6:D6"/>
    <mergeCell ref="E6:E7"/>
    <mergeCell ref="F6:F7"/>
    <mergeCell ref="G6:G7"/>
    <mergeCell ref="H6:I6"/>
    <mergeCell ref="L6:O6"/>
    <mergeCell ref="P6:R6"/>
    <mergeCell ref="S6:S7"/>
    <mergeCell ref="T6:T7"/>
    <mergeCell ref="AT1:AW1"/>
    <mergeCell ref="AG6:AG7"/>
    <mergeCell ref="AX1:AY1"/>
    <mergeCell ref="AR2:AS4"/>
    <mergeCell ref="AT2:AW4"/>
    <mergeCell ref="AX2:AY4"/>
    <mergeCell ref="AP6:AR6"/>
    <mergeCell ref="AS6:AS7"/>
    <mergeCell ref="AT6:AT7"/>
    <mergeCell ref="AH5:AO5"/>
    <mergeCell ref="AP5:AY5"/>
    <mergeCell ref="A1:D4"/>
    <mergeCell ref="E1:Q2"/>
    <mergeCell ref="R1:AP2"/>
    <mergeCell ref="AQ1:AQ4"/>
    <mergeCell ref="AR1:AS1"/>
    <mergeCell ref="E3:Q3"/>
    <mergeCell ref="R3:AP3"/>
    <mergeCell ref="E4:Q4"/>
    <mergeCell ref="R4:AP4"/>
  </mergeCells>
  <phoneticPr fontId="3" type="noConversion"/>
  <pageMargins left="0.23" right="0" top="0.75" bottom="0" header="0.39370078740157483" footer="0.2"/>
  <pageSetup paperSize="9" scale="53" orientation="landscape" r:id="rId5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E11575"/>
  <sheetViews>
    <sheetView showRuler="0" view="pageBreakPreview" zoomScale="70" zoomScaleNormal="85" zoomScaleSheetLayoutView="70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U20" sqref="U20"/>
    </sheetView>
  </sheetViews>
  <sheetFormatPr defaultRowHeight="15" x14ac:dyDescent="0.15"/>
  <cols>
    <col min="1" max="1" width="7" style="77" customWidth="1"/>
    <col min="2" max="3" width="10.33203125" style="77" customWidth="1"/>
    <col min="4" max="4" width="10.109375" style="77" customWidth="1"/>
    <col min="5" max="5" width="9.88671875" style="77" customWidth="1"/>
    <col min="6" max="6" width="9.88671875" style="77" hidden="1" customWidth="1"/>
    <col min="7" max="7" width="10.21875" style="77" customWidth="1"/>
    <col min="8" max="8" width="10.33203125" style="79" hidden="1" customWidth="1"/>
    <col min="9" max="9" width="10" style="79" hidden="1" customWidth="1"/>
    <col min="10" max="10" width="10.33203125" style="79" hidden="1" customWidth="1"/>
    <col min="11" max="11" width="10" style="79" hidden="1" customWidth="1"/>
    <col min="12" max="15" width="10.33203125" style="80" hidden="1" customWidth="1"/>
    <col min="16" max="16" width="10.33203125" style="77" customWidth="1"/>
    <col min="17" max="17" width="10.33203125" style="81" customWidth="1"/>
    <col min="18" max="19" width="10.109375" style="77" customWidth="1"/>
    <col min="20" max="20" width="9.88671875" style="82" hidden="1" customWidth="1"/>
    <col min="21" max="21" width="10.21875" style="77" customWidth="1"/>
    <col min="22" max="22" width="10.33203125" style="79" hidden="1" customWidth="1"/>
    <col min="23" max="23" width="10" style="79" hidden="1" customWidth="1"/>
    <col min="24" max="24" width="10.33203125" style="79" hidden="1" customWidth="1"/>
    <col min="25" max="25" width="10" style="79" hidden="1" customWidth="1"/>
    <col min="26" max="29" width="10.33203125" style="80" hidden="1" customWidth="1"/>
    <col min="30" max="30" width="11.109375" style="77" customWidth="1"/>
    <col min="31" max="31" width="10.33203125" style="81" customWidth="1"/>
    <col min="32" max="32" width="10.109375" style="77" customWidth="1"/>
    <col min="33" max="33" width="10.33203125" style="77" customWidth="1"/>
    <col min="34" max="34" width="10.33203125" style="79" hidden="1" customWidth="1"/>
    <col min="35" max="35" width="10" style="79" hidden="1" customWidth="1"/>
    <col min="36" max="36" width="10.33203125" style="79" hidden="1" customWidth="1"/>
    <col min="37" max="37" width="10" style="79" hidden="1" customWidth="1"/>
    <col min="38" max="41" width="10.33203125" style="80" hidden="1" customWidth="1"/>
    <col min="42" max="42" width="11.6640625" style="77" customWidth="1"/>
    <col min="43" max="43" width="10.88671875" style="81" customWidth="1"/>
    <col min="44" max="44" width="9.33203125" style="77" customWidth="1"/>
    <col min="45" max="45" width="10.33203125" style="77" customWidth="1"/>
    <col min="46" max="46" width="10.33203125" style="83" customWidth="1"/>
    <col min="47" max="47" width="11.33203125" style="77" customWidth="1"/>
    <col min="48" max="48" width="10.33203125" style="79" hidden="1" customWidth="1"/>
    <col min="49" max="49" width="10" style="79" hidden="1" customWidth="1"/>
    <col min="50" max="50" width="10.33203125" style="79" customWidth="1"/>
    <col min="51" max="51" width="10" style="79" customWidth="1"/>
    <col min="52" max="54" width="10.33203125" style="84" hidden="1" customWidth="1"/>
    <col min="55" max="55" width="11.21875" style="84" hidden="1" customWidth="1"/>
    <col min="56" max="56" width="11.5546875" style="85" hidden="1" customWidth="1"/>
    <col min="57" max="57" width="8.88671875" style="85" hidden="1" customWidth="1"/>
    <col min="58" max="58" width="9.77734375" style="85" bestFit="1" customWidth="1"/>
    <col min="59" max="16384" width="8.88671875" style="85"/>
  </cols>
  <sheetData>
    <row r="1" spans="1:56" s="5" customFormat="1" ht="28.5" customHeight="1" x14ac:dyDescent="0.15">
      <c r="A1" s="101"/>
      <c r="B1" s="102"/>
      <c r="C1" s="102"/>
      <c r="D1" s="102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07" t="s">
        <v>1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9"/>
      <c r="AQ1" s="182" t="s">
        <v>123</v>
      </c>
      <c r="AR1" s="113" t="s">
        <v>3</v>
      </c>
      <c r="AS1" s="113"/>
      <c r="AT1" s="113" t="s">
        <v>4</v>
      </c>
      <c r="AU1" s="113"/>
      <c r="AV1" s="113"/>
      <c r="AW1" s="113"/>
      <c r="AX1" s="113" t="s">
        <v>5</v>
      </c>
      <c r="AY1" s="132"/>
      <c r="AZ1" s="3"/>
      <c r="BA1" s="4"/>
      <c r="BB1" s="4"/>
      <c r="BC1" s="4"/>
    </row>
    <row r="2" spans="1:56" s="5" customFormat="1" ht="15" customHeight="1" x14ac:dyDescent="0.15">
      <c r="A2" s="103"/>
      <c r="B2" s="104"/>
      <c r="C2" s="104"/>
      <c r="D2" s="104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79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1"/>
      <c r="AQ2" s="183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</row>
    <row r="3" spans="1:56" s="5" customFormat="1" ht="39.950000000000003" customHeight="1" x14ac:dyDescent="0.15">
      <c r="A3" s="103"/>
      <c r="B3" s="104"/>
      <c r="C3" s="104"/>
      <c r="D3" s="104"/>
      <c r="E3" s="120" t="s">
        <v>6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2"/>
      <c r="R3" s="138" t="s">
        <v>132</v>
      </c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83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</row>
    <row r="4" spans="1:56" s="5" customFormat="1" ht="39.950000000000003" customHeight="1" thickBot="1" x14ac:dyDescent="0.2">
      <c r="A4" s="105"/>
      <c r="B4" s="106"/>
      <c r="C4" s="106"/>
      <c r="D4" s="106"/>
      <c r="E4" s="123" t="s">
        <v>7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41" t="s">
        <v>8</v>
      </c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3"/>
      <c r="AQ4" s="184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</row>
    <row r="5" spans="1:56" s="10" customFormat="1" ht="21.75" customHeight="1" thickBot="1" x14ac:dyDescent="0.2">
      <c r="A5" s="144"/>
      <c r="B5" s="147" t="s">
        <v>125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126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127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128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9</v>
      </c>
      <c r="BA5" s="172"/>
      <c r="BB5" s="172"/>
      <c r="BC5" s="173"/>
      <c r="BD5" s="155" t="s">
        <v>10</v>
      </c>
    </row>
    <row r="6" spans="1:56" s="11" customFormat="1" ht="21.75" customHeight="1" x14ac:dyDescent="0.15">
      <c r="A6" s="145"/>
      <c r="B6" s="150" t="s">
        <v>106</v>
      </c>
      <c r="C6" s="151"/>
      <c r="D6" s="151"/>
      <c r="E6" s="151" t="s">
        <v>11</v>
      </c>
      <c r="F6" s="153" t="s">
        <v>12</v>
      </c>
      <c r="G6" s="151" t="s">
        <v>13</v>
      </c>
      <c r="H6" s="159" t="s">
        <v>14</v>
      </c>
      <c r="I6" s="159"/>
      <c r="J6" s="159" t="s">
        <v>15</v>
      </c>
      <c r="K6" s="159"/>
      <c r="L6" s="160" t="s">
        <v>16</v>
      </c>
      <c r="M6" s="160"/>
      <c r="N6" s="160"/>
      <c r="O6" s="161"/>
      <c r="P6" s="150" t="s">
        <v>101</v>
      </c>
      <c r="Q6" s="151"/>
      <c r="R6" s="151"/>
      <c r="S6" s="151" t="s">
        <v>11</v>
      </c>
      <c r="T6" s="153" t="s">
        <v>12</v>
      </c>
      <c r="U6" s="151" t="s">
        <v>13</v>
      </c>
      <c r="V6" s="159" t="s">
        <v>14</v>
      </c>
      <c r="W6" s="159"/>
      <c r="X6" s="159" t="s">
        <v>15</v>
      </c>
      <c r="Y6" s="159"/>
      <c r="Z6" s="160" t="s">
        <v>16</v>
      </c>
      <c r="AA6" s="160"/>
      <c r="AB6" s="160"/>
      <c r="AC6" s="161"/>
      <c r="AD6" s="150" t="s">
        <v>103</v>
      </c>
      <c r="AE6" s="151"/>
      <c r="AF6" s="151"/>
      <c r="AG6" s="177" t="s">
        <v>13</v>
      </c>
      <c r="AH6" s="158" t="s">
        <v>14</v>
      </c>
      <c r="AI6" s="159"/>
      <c r="AJ6" s="159" t="s">
        <v>15</v>
      </c>
      <c r="AK6" s="159"/>
      <c r="AL6" s="160" t="s">
        <v>16</v>
      </c>
      <c r="AM6" s="160"/>
      <c r="AN6" s="160"/>
      <c r="AO6" s="161"/>
      <c r="AP6" s="150" t="s">
        <v>104</v>
      </c>
      <c r="AQ6" s="151"/>
      <c r="AR6" s="151"/>
      <c r="AS6" s="151" t="s">
        <v>11</v>
      </c>
      <c r="AT6" s="151" t="s">
        <v>12</v>
      </c>
      <c r="AU6" s="162" t="s">
        <v>13</v>
      </c>
      <c r="AV6" s="164" t="s">
        <v>14</v>
      </c>
      <c r="AW6" s="165"/>
      <c r="AX6" s="164" t="s">
        <v>15</v>
      </c>
      <c r="AY6" s="165"/>
      <c r="AZ6" s="174" t="s">
        <v>16</v>
      </c>
      <c r="BA6" s="175"/>
      <c r="BB6" s="175"/>
      <c r="BC6" s="176"/>
      <c r="BD6" s="156"/>
    </row>
    <row r="7" spans="1:56" s="25" customFormat="1" ht="21" customHeight="1" thickBot="1" x14ac:dyDescent="0.2">
      <c r="A7" s="146"/>
      <c r="B7" s="12" t="s">
        <v>17</v>
      </c>
      <c r="C7" s="13" t="s">
        <v>18</v>
      </c>
      <c r="D7" s="14" t="s">
        <v>19</v>
      </c>
      <c r="E7" s="152"/>
      <c r="F7" s="154"/>
      <c r="G7" s="152"/>
      <c r="H7" s="15" t="s">
        <v>20</v>
      </c>
      <c r="I7" s="15" t="s">
        <v>21</v>
      </c>
      <c r="J7" s="15" t="s">
        <v>20</v>
      </c>
      <c r="K7" s="15" t="s">
        <v>21</v>
      </c>
      <c r="L7" s="16" t="s">
        <v>22</v>
      </c>
      <c r="M7" s="16" t="s">
        <v>23</v>
      </c>
      <c r="N7" s="16" t="s">
        <v>24</v>
      </c>
      <c r="O7" s="17" t="s">
        <v>13</v>
      </c>
      <c r="P7" s="12" t="s">
        <v>17</v>
      </c>
      <c r="Q7" s="13" t="s">
        <v>18</v>
      </c>
      <c r="R7" s="14" t="s">
        <v>19</v>
      </c>
      <c r="S7" s="152"/>
      <c r="T7" s="154"/>
      <c r="U7" s="152"/>
      <c r="V7" s="15" t="s">
        <v>25</v>
      </c>
      <c r="W7" s="15" t="s">
        <v>21</v>
      </c>
      <c r="X7" s="15" t="s">
        <v>20</v>
      </c>
      <c r="Y7" s="15" t="s">
        <v>21</v>
      </c>
      <c r="Z7" s="16" t="s">
        <v>22</v>
      </c>
      <c r="AA7" s="16" t="s">
        <v>23</v>
      </c>
      <c r="AB7" s="16" t="s">
        <v>24</v>
      </c>
      <c r="AC7" s="17" t="s">
        <v>13</v>
      </c>
      <c r="AD7" s="12" t="s">
        <v>17</v>
      </c>
      <c r="AE7" s="13" t="s">
        <v>18</v>
      </c>
      <c r="AF7" s="14" t="s">
        <v>19</v>
      </c>
      <c r="AG7" s="178"/>
      <c r="AH7" s="19" t="s">
        <v>20</v>
      </c>
      <c r="AI7" s="15" t="s">
        <v>21</v>
      </c>
      <c r="AJ7" s="15" t="s">
        <v>20</v>
      </c>
      <c r="AK7" s="15" t="s">
        <v>21</v>
      </c>
      <c r="AL7" s="16" t="s">
        <v>22</v>
      </c>
      <c r="AM7" s="16" t="s">
        <v>23</v>
      </c>
      <c r="AN7" s="16" t="s">
        <v>24</v>
      </c>
      <c r="AO7" s="17" t="s">
        <v>13</v>
      </c>
      <c r="AP7" s="12" t="s">
        <v>17</v>
      </c>
      <c r="AQ7" s="13" t="s">
        <v>18</v>
      </c>
      <c r="AR7" s="14" t="s">
        <v>19</v>
      </c>
      <c r="AS7" s="152"/>
      <c r="AT7" s="152"/>
      <c r="AU7" s="163"/>
      <c r="AV7" s="20" t="s">
        <v>20</v>
      </c>
      <c r="AW7" s="21" t="s">
        <v>21</v>
      </c>
      <c r="AX7" s="20" t="s">
        <v>20</v>
      </c>
      <c r="AY7" s="21" t="s">
        <v>21</v>
      </c>
      <c r="AZ7" s="22" t="s">
        <v>22</v>
      </c>
      <c r="BA7" s="23" t="s">
        <v>23</v>
      </c>
      <c r="BB7" s="23" t="s">
        <v>24</v>
      </c>
      <c r="BC7" s="24" t="s">
        <v>13</v>
      </c>
      <c r="BD7" s="157"/>
    </row>
    <row r="8" spans="1:56" s="52" customFormat="1" ht="21.75" customHeight="1" x14ac:dyDescent="0.15">
      <c r="A8" s="53">
        <v>46113</v>
      </c>
      <c r="B8" s="27">
        <v>232876</v>
      </c>
      <c r="C8" s="28">
        <v>145000</v>
      </c>
      <c r="D8" s="29">
        <f>B8/C8</f>
        <v>1.6060413793103447</v>
      </c>
      <c r="E8" s="30">
        <v>83976</v>
      </c>
      <c r="F8" s="31">
        <v>0</v>
      </c>
      <c r="G8" s="32">
        <f t="shared" ref="G8:G17" si="0">B8+E8+F8</f>
        <v>316852</v>
      </c>
      <c r="H8" s="33">
        <v>0</v>
      </c>
      <c r="I8" s="34">
        <v>0</v>
      </c>
      <c r="J8" s="35">
        <v>0</v>
      </c>
      <c r="K8" s="36">
        <v>0</v>
      </c>
      <c r="L8" s="37">
        <v>148256</v>
      </c>
      <c r="M8" s="38">
        <v>59384</v>
      </c>
      <c r="N8" s="38">
        <v>25236</v>
      </c>
      <c r="O8" s="39">
        <f t="shared" ref="O8:O17" si="1">SUM(L8:N8)</f>
        <v>232876</v>
      </c>
      <c r="P8" s="40">
        <v>123522</v>
      </c>
      <c r="Q8" s="28">
        <v>70000</v>
      </c>
      <c r="R8" s="29">
        <f>P8/Q8</f>
        <v>1.7645999999999999</v>
      </c>
      <c r="S8" s="30">
        <v>0</v>
      </c>
      <c r="T8" s="31">
        <v>0</v>
      </c>
      <c r="U8" s="32">
        <f t="shared" ref="U8:U17" si="2">P8+S8+T8</f>
        <v>123522</v>
      </c>
      <c r="V8" s="33">
        <v>0</v>
      </c>
      <c r="W8" s="34">
        <v>0</v>
      </c>
      <c r="X8" s="35">
        <v>0</v>
      </c>
      <c r="Y8" s="36">
        <v>0</v>
      </c>
      <c r="Z8" s="37">
        <v>123522</v>
      </c>
      <c r="AA8" s="38">
        <v>0</v>
      </c>
      <c r="AB8" s="38">
        <v>0</v>
      </c>
      <c r="AC8" s="39">
        <f t="shared" ref="AC8:AC17" si="3">SUM(Z8:AB8)</f>
        <v>123522</v>
      </c>
      <c r="AD8" s="45">
        <v>28710</v>
      </c>
      <c r="AE8" s="28">
        <v>200000</v>
      </c>
      <c r="AF8" s="41">
        <f>AD8/AE8</f>
        <v>0.14355000000000001</v>
      </c>
      <c r="AG8" s="32">
        <f t="shared" ref="AG8:AG17" si="4">AD8</f>
        <v>28710</v>
      </c>
      <c r="AH8" s="35">
        <v>0</v>
      </c>
      <c r="AI8" s="43">
        <v>0</v>
      </c>
      <c r="AJ8" s="35">
        <v>16544</v>
      </c>
      <c r="AK8" s="43">
        <v>0</v>
      </c>
      <c r="AL8" s="44">
        <v>0</v>
      </c>
      <c r="AM8" s="38">
        <v>28710</v>
      </c>
      <c r="AN8" s="38">
        <v>0</v>
      </c>
      <c r="AO8" s="39">
        <f t="shared" ref="AO8:AO17" si="5">SUM(AL8:AN8)</f>
        <v>28710</v>
      </c>
      <c r="AP8" s="40">
        <f t="shared" ref="AP8:AP17" si="6">AD8+P8+B8</f>
        <v>385108</v>
      </c>
      <c r="AQ8" s="28">
        <v>415000</v>
      </c>
      <c r="AR8" s="41">
        <f>AP8/AQ8</f>
        <v>0.92797108433734943</v>
      </c>
      <c r="AS8" s="30">
        <f t="shared" ref="AS8" si="7">E8+S8</f>
        <v>83976</v>
      </c>
      <c r="AT8" s="30">
        <f t="shared" ref="AT8" si="8">F8+T8</f>
        <v>0</v>
      </c>
      <c r="AU8" s="42">
        <f t="shared" ref="AU8" si="9">AP8+AS8+AT8</f>
        <v>469084</v>
      </c>
      <c r="AV8" s="33">
        <f t="shared" ref="AV8" si="10">SUM(H8,V8,AH8)</f>
        <v>0</v>
      </c>
      <c r="AW8" s="46">
        <f t="shared" ref="AW8" si="11">SUM(I8,W8,AI8)</f>
        <v>0</v>
      </c>
      <c r="AX8" s="33">
        <f t="shared" ref="AX8" si="12">SUM(J8,X8,AJ8)</f>
        <v>16544</v>
      </c>
      <c r="AY8" s="46">
        <f t="shared" ref="AY8" si="13">SUM(K8,Y8,AK8)</f>
        <v>0</v>
      </c>
      <c r="AZ8" s="48">
        <f t="shared" ref="AZ8" si="14">L8+Z8+AL8</f>
        <v>271778</v>
      </c>
      <c r="BA8" s="49">
        <f t="shared" ref="BA8" si="15">M8+AA8+AM8</f>
        <v>88094</v>
      </c>
      <c r="BB8" s="49">
        <f t="shared" ref="BB8" si="16">N8+AB8+AN8</f>
        <v>25236</v>
      </c>
      <c r="BC8" s="50">
        <f t="shared" ref="BC8" si="17">SUM(AZ8:BB8)</f>
        <v>385108</v>
      </c>
      <c r="BD8" s="51">
        <v>0</v>
      </c>
    </row>
    <row r="9" spans="1:56" s="52" customFormat="1" ht="21.75" customHeight="1" x14ac:dyDescent="0.15">
      <c r="A9" s="53">
        <v>46114</v>
      </c>
      <c r="B9" s="27">
        <v>123594</v>
      </c>
      <c r="C9" s="28">
        <v>145000</v>
      </c>
      <c r="D9" s="29">
        <f>B9/C9</f>
        <v>0.85237241379310347</v>
      </c>
      <c r="E9" s="30">
        <v>0</v>
      </c>
      <c r="F9" s="31">
        <v>82050</v>
      </c>
      <c r="G9" s="32">
        <f t="shared" si="0"/>
        <v>205644</v>
      </c>
      <c r="H9" s="33">
        <v>0</v>
      </c>
      <c r="I9" s="34">
        <v>0</v>
      </c>
      <c r="J9" s="35">
        <v>0</v>
      </c>
      <c r="K9" s="36">
        <v>0</v>
      </c>
      <c r="L9" s="37">
        <v>123594</v>
      </c>
      <c r="M9" s="38">
        <v>0</v>
      </c>
      <c r="N9" s="38">
        <v>0</v>
      </c>
      <c r="O9" s="39">
        <f t="shared" si="1"/>
        <v>123594</v>
      </c>
      <c r="P9" s="40">
        <v>67673</v>
      </c>
      <c r="Q9" s="28">
        <v>70000</v>
      </c>
      <c r="R9" s="29">
        <f>P9/Q9</f>
        <v>0.96675714285714287</v>
      </c>
      <c r="S9" s="30">
        <v>0</v>
      </c>
      <c r="T9" s="31">
        <v>0</v>
      </c>
      <c r="U9" s="32">
        <f t="shared" si="2"/>
        <v>67673</v>
      </c>
      <c r="V9" s="33">
        <v>0</v>
      </c>
      <c r="W9" s="34">
        <v>0</v>
      </c>
      <c r="X9" s="35">
        <v>0</v>
      </c>
      <c r="Y9" s="36">
        <v>9464</v>
      </c>
      <c r="Z9" s="37">
        <v>41353</v>
      </c>
      <c r="AA9" s="38">
        <v>26320</v>
      </c>
      <c r="AB9" s="38">
        <v>0</v>
      </c>
      <c r="AC9" s="39">
        <f t="shared" si="3"/>
        <v>67673</v>
      </c>
      <c r="AD9" s="45">
        <v>66055</v>
      </c>
      <c r="AE9" s="28">
        <v>200000</v>
      </c>
      <c r="AF9" s="41">
        <f>AD9/AE9</f>
        <v>0.33027499999999999</v>
      </c>
      <c r="AG9" s="32">
        <f t="shared" si="4"/>
        <v>66055</v>
      </c>
      <c r="AH9" s="35">
        <v>0</v>
      </c>
      <c r="AI9" s="43">
        <v>0</v>
      </c>
      <c r="AJ9" s="35">
        <v>66523</v>
      </c>
      <c r="AK9" s="43">
        <v>0</v>
      </c>
      <c r="AL9" s="44">
        <v>66055</v>
      </c>
      <c r="AM9" s="38">
        <v>0</v>
      </c>
      <c r="AN9" s="38">
        <v>0</v>
      </c>
      <c r="AO9" s="39">
        <f t="shared" si="5"/>
        <v>66055</v>
      </c>
      <c r="AP9" s="40">
        <f t="shared" si="6"/>
        <v>257322</v>
      </c>
      <c r="AQ9" s="28">
        <v>415000</v>
      </c>
      <c r="AR9" s="41">
        <f>AP9/AQ9</f>
        <v>0.62005301204819274</v>
      </c>
      <c r="AS9" s="30">
        <f t="shared" ref="AS9" si="18">E9+S9</f>
        <v>0</v>
      </c>
      <c r="AT9" s="30">
        <f t="shared" ref="AT9" si="19">F9+T9</f>
        <v>82050</v>
      </c>
      <c r="AU9" s="42">
        <f t="shared" ref="AU9" si="20">AP9+AS9+AT9</f>
        <v>339372</v>
      </c>
      <c r="AV9" s="33">
        <f t="shared" ref="AV9" si="21">SUM(H9,V9,AH9)</f>
        <v>0</v>
      </c>
      <c r="AW9" s="46">
        <f t="shared" ref="AW9" si="22">SUM(I9,W9,AI9)</f>
        <v>0</v>
      </c>
      <c r="AX9" s="33">
        <f t="shared" ref="AX9" si="23">SUM(J9,X9,AJ9)</f>
        <v>66523</v>
      </c>
      <c r="AY9" s="46">
        <f t="shared" ref="AY9" si="24">SUM(K9,Y9,AK9)</f>
        <v>9464</v>
      </c>
      <c r="AZ9" s="48">
        <f t="shared" ref="AZ9" si="25">L9+Z9+AL9</f>
        <v>231002</v>
      </c>
      <c r="BA9" s="49">
        <f t="shared" ref="BA9" si="26">M9+AA9+AM9</f>
        <v>26320</v>
      </c>
      <c r="BB9" s="49">
        <f t="shared" ref="BB9" si="27">N9+AB9+AN9</f>
        <v>0</v>
      </c>
      <c r="BC9" s="50">
        <f t="shared" ref="BC9" si="28">SUM(AZ9:BB9)</f>
        <v>257322</v>
      </c>
      <c r="BD9" s="51"/>
    </row>
    <row r="10" spans="1:56" s="52" customFormat="1" ht="21.75" customHeight="1" x14ac:dyDescent="0.15">
      <c r="A10" s="53">
        <v>46115</v>
      </c>
      <c r="B10" s="27">
        <v>140815</v>
      </c>
      <c r="C10" s="28">
        <v>145000</v>
      </c>
      <c r="D10" s="29">
        <f>B10/C10</f>
        <v>0.97113793103448276</v>
      </c>
      <c r="E10" s="30">
        <v>12863</v>
      </c>
      <c r="F10" s="31">
        <v>0</v>
      </c>
      <c r="G10" s="32">
        <f t="shared" si="0"/>
        <v>153678</v>
      </c>
      <c r="H10" s="33">
        <v>0</v>
      </c>
      <c r="I10" s="34">
        <v>0</v>
      </c>
      <c r="J10" s="35">
        <v>0</v>
      </c>
      <c r="K10" s="36">
        <v>0</v>
      </c>
      <c r="L10" s="37">
        <v>24948</v>
      </c>
      <c r="M10" s="38">
        <v>115867</v>
      </c>
      <c r="N10" s="38">
        <v>0</v>
      </c>
      <c r="O10" s="39">
        <f t="shared" si="1"/>
        <v>140815</v>
      </c>
      <c r="P10" s="40">
        <v>97702</v>
      </c>
      <c r="Q10" s="28">
        <v>70000</v>
      </c>
      <c r="R10" s="29">
        <f>P10/Q10</f>
        <v>1.3957428571428572</v>
      </c>
      <c r="S10" s="30">
        <v>85635</v>
      </c>
      <c r="T10" s="31">
        <v>0</v>
      </c>
      <c r="U10" s="32">
        <f t="shared" si="2"/>
        <v>183337</v>
      </c>
      <c r="V10" s="33">
        <v>0</v>
      </c>
      <c r="W10" s="34">
        <v>0</v>
      </c>
      <c r="X10" s="35">
        <v>0</v>
      </c>
      <c r="Y10" s="36">
        <v>0</v>
      </c>
      <c r="Z10" s="37">
        <v>97702</v>
      </c>
      <c r="AA10" s="38">
        <v>0</v>
      </c>
      <c r="AB10" s="38">
        <v>0</v>
      </c>
      <c r="AC10" s="39">
        <f t="shared" si="3"/>
        <v>97702</v>
      </c>
      <c r="AD10" s="45">
        <v>0</v>
      </c>
      <c r="AE10" s="28">
        <v>200000</v>
      </c>
      <c r="AF10" s="41">
        <f>AD10/AE10</f>
        <v>0</v>
      </c>
      <c r="AG10" s="32">
        <f t="shared" si="4"/>
        <v>0</v>
      </c>
      <c r="AH10" s="35">
        <v>0</v>
      </c>
      <c r="AI10" s="43">
        <v>0</v>
      </c>
      <c r="AJ10" s="35">
        <v>0</v>
      </c>
      <c r="AK10" s="43">
        <v>0</v>
      </c>
      <c r="AL10" s="44">
        <v>0</v>
      </c>
      <c r="AM10" s="38">
        <v>0</v>
      </c>
      <c r="AN10" s="38">
        <v>0</v>
      </c>
      <c r="AO10" s="39">
        <f t="shared" si="5"/>
        <v>0</v>
      </c>
      <c r="AP10" s="40">
        <f t="shared" si="6"/>
        <v>238517</v>
      </c>
      <c r="AQ10" s="28">
        <v>415000</v>
      </c>
      <c r="AR10" s="41">
        <f>AP10/AQ10</f>
        <v>0.5747397590361446</v>
      </c>
      <c r="AS10" s="30">
        <f t="shared" ref="AS10:AT17" si="29">E10+S10</f>
        <v>98498</v>
      </c>
      <c r="AT10" s="30">
        <f t="shared" ref="AT10" si="30">F10+T10</f>
        <v>0</v>
      </c>
      <c r="AU10" s="42">
        <f t="shared" ref="AU10:AU17" si="31">AP10+AS10+AT10</f>
        <v>337015</v>
      </c>
      <c r="AV10" s="33">
        <f t="shared" ref="AV10:AY17" si="32">SUM(H10,V10,AH10)</f>
        <v>0</v>
      </c>
      <c r="AW10" s="46">
        <f t="shared" ref="AW10" si="33">SUM(I10,W10,AI10)</f>
        <v>0</v>
      </c>
      <c r="AX10" s="33">
        <f t="shared" ref="AX10" si="34">SUM(J10,X10,AJ10)</f>
        <v>0</v>
      </c>
      <c r="AY10" s="46">
        <f t="shared" ref="AY10" si="35">SUM(K10,Y10,AK10)</f>
        <v>0</v>
      </c>
      <c r="AZ10" s="48">
        <f t="shared" ref="AZ10:BB17" si="36">L10+Z10+AL10</f>
        <v>122650</v>
      </c>
      <c r="BA10" s="49">
        <f t="shared" ref="BA10" si="37">M10+AA10+AM10</f>
        <v>115867</v>
      </c>
      <c r="BB10" s="49">
        <f t="shared" ref="BB10" si="38">N10+AB10+AN10</f>
        <v>0</v>
      </c>
      <c r="BC10" s="50">
        <f t="shared" ref="BC10:BC17" si="39">SUM(AZ10:BB10)</f>
        <v>238517</v>
      </c>
      <c r="BD10" s="51"/>
    </row>
    <row r="11" spans="1:56" s="52" customFormat="1" ht="21.75" customHeight="1" x14ac:dyDescent="0.15">
      <c r="A11" s="26">
        <v>46116</v>
      </c>
      <c r="B11" s="27">
        <v>0</v>
      </c>
      <c r="C11" s="28">
        <v>0</v>
      </c>
      <c r="D11" s="29">
        <v>0</v>
      </c>
      <c r="E11" s="30">
        <v>0</v>
      </c>
      <c r="F11" s="31">
        <v>0</v>
      </c>
      <c r="G11" s="32">
        <f t="shared" si="0"/>
        <v>0</v>
      </c>
      <c r="H11" s="33">
        <v>0</v>
      </c>
      <c r="I11" s="34">
        <v>0</v>
      </c>
      <c r="J11" s="35">
        <v>0</v>
      </c>
      <c r="K11" s="36">
        <v>0</v>
      </c>
      <c r="L11" s="37">
        <v>0</v>
      </c>
      <c r="M11" s="38">
        <v>0</v>
      </c>
      <c r="N11" s="38">
        <v>0</v>
      </c>
      <c r="O11" s="39">
        <f t="shared" si="1"/>
        <v>0</v>
      </c>
      <c r="P11" s="40">
        <v>0</v>
      </c>
      <c r="Q11" s="28">
        <v>0</v>
      </c>
      <c r="R11" s="29">
        <v>0</v>
      </c>
      <c r="S11" s="30">
        <v>0</v>
      </c>
      <c r="T11" s="31">
        <v>0</v>
      </c>
      <c r="U11" s="32">
        <f t="shared" si="2"/>
        <v>0</v>
      </c>
      <c r="V11" s="33">
        <v>0</v>
      </c>
      <c r="W11" s="34">
        <v>0</v>
      </c>
      <c r="X11" s="35">
        <v>0</v>
      </c>
      <c r="Y11" s="36">
        <v>0</v>
      </c>
      <c r="Z11" s="37">
        <v>0</v>
      </c>
      <c r="AA11" s="38">
        <v>0</v>
      </c>
      <c r="AB11" s="38">
        <v>0</v>
      </c>
      <c r="AC11" s="39">
        <f t="shared" si="3"/>
        <v>0</v>
      </c>
      <c r="AD11" s="45">
        <v>0</v>
      </c>
      <c r="AE11" s="28">
        <v>0</v>
      </c>
      <c r="AF11" s="41">
        <v>0</v>
      </c>
      <c r="AG11" s="32">
        <f t="shared" si="4"/>
        <v>0</v>
      </c>
      <c r="AH11" s="35">
        <v>0</v>
      </c>
      <c r="AI11" s="43">
        <v>0</v>
      </c>
      <c r="AJ11" s="35">
        <v>0</v>
      </c>
      <c r="AK11" s="43">
        <v>0</v>
      </c>
      <c r="AL11" s="44">
        <v>0</v>
      </c>
      <c r="AM11" s="38">
        <v>0</v>
      </c>
      <c r="AN11" s="38">
        <v>0</v>
      </c>
      <c r="AO11" s="39">
        <f t="shared" si="5"/>
        <v>0</v>
      </c>
      <c r="AP11" s="40">
        <f t="shared" si="6"/>
        <v>0</v>
      </c>
      <c r="AQ11" s="28">
        <v>0</v>
      </c>
      <c r="AR11" s="41">
        <v>0</v>
      </c>
      <c r="AS11" s="30">
        <f t="shared" si="29"/>
        <v>0</v>
      </c>
      <c r="AT11" s="30">
        <f t="shared" si="29"/>
        <v>0</v>
      </c>
      <c r="AU11" s="42">
        <f t="shared" si="31"/>
        <v>0</v>
      </c>
      <c r="AV11" s="33">
        <f t="shared" si="32"/>
        <v>0</v>
      </c>
      <c r="AW11" s="46">
        <f t="shared" si="32"/>
        <v>0</v>
      </c>
      <c r="AX11" s="33">
        <f t="shared" si="32"/>
        <v>0</v>
      </c>
      <c r="AY11" s="46">
        <f t="shared" si="32"/>
        <v>0</v>
      </c>
      <c r="AZ11" s="48">
        <f t="shared" si="36"/>
        <v>0</v>
      </c>
      <c r="BA11" s="49">
        <f t="shared" si="36"/>
        <v>0</v>
      </c>
      <c r="BB11" s="49">
        <f t="shared" si="36"/>
        <v>0</v>
      </c>
      <c r="BC11" s="50">
        <f t="shared" si="39"/>
        <v>0</v>
      </c>
      <c r="BD11" s="51"/>
    </row>
    <row r="12" spans="1:56" s="52" customFormat="1" ht="21.75" customHeight="1" x14ac:dyDescent="0.15">
      <c r="A12" s="26">
        <v>46117</v>
      </c>
      <c r="B12" s="27">
        <v>0</v>
      </c>
      <c r="C12" s="28">
        <v>0</v>
      </c>
      <c r="D12" s="29">
        <v>0</v>
      </c>
      <c r="E12" s="30">
        <v>0</v>
      </c>
      <c r="F12" s="31">
        <v>0</v>
      </c>
      <c r="G12" s="32">
        <f t="shared" si="0"/>
        <v>0</v>
      </c>
      <c r="H12" s="33">
        <v>0</v>
      </c>
      <c r="I12" s="34">
        <v>0</v>
      </c>
      <c r="J12" s="35">
        <v>0</v>
      </c>
      <c r="K12" s="36">
        <v>0</v>
      </c>
      <c r="L12" s="37">
        <v>0</v>
      </c>
      <c r="M12" s="38">
        <v>0</v>
      </c>
      <c r="N12" s="38">
        <v>0</v>
      </c>
      <c r="O12" s="39">
        <f t="shared" si="1"/>
        <v>0</v>
      </c>
      <c r="P12" s="40">
        <v>0</v>
      </c>
      <c r="Q12" s="28">
        <v>0</v>
      </c>
      <c r="R12" s="29">
        <v>0</v>
      </c>
      <c r="S12" s="30">
        <v>0</v>
      </c>
      <c r="T12" s="31">
        <v>0</v>
      </c>
      <c r="U12" s="32">
        <f t="shared" si="2"/>
        <v>0</v>
      </c>
      <c r="V12" s="33">
        <v>0</v>
      </c>
      <c r="W12" s="34">
        <v>0</v>
      </c>
      <c r="X12" s="35">
        <v>0</v>
      </c>
      <c r="Y12" s="36">
        <v>0</v>
      </c>
      <c r="Z12" s="37">
        <v>0</v>
      </c>
      <c r="AA12" s="38">
        <v>0</v>
      </c>
      <c r="AB12" s="38">
        <v>0</v>
      </c>
      <c r="AC12" s="39">
        <f t="shared" si="3"/>
        <v>0</v>
      </c>
      <c r="AD12" s="45">
        <v>0</v>
      </c>
      <c r="AE12" s="28">
        <v>0</v>
      </c>
      <c r="AF12" s="41">
        <v>0</v>
      </c>
      <c r="AG12" s="32">
        <f t="shared" si="4"/>
        <v>0</v>
      </c>
      <c r="AH12" s="35">
        <v>0</v>
      </c>
      <c r="AI12" s="43">
        <v>0</v>
      </c>
      <c r="AJ12" s="35">
        <v>0</v>
      </c>
      <c r="AK12" s="43">
        <v>0</v>
      </c>
      <c r="AL12" s="44">
        <v>0</v>
      </c>
      <c r="AM12" s="38">
        <v>0</v>
      </c>
      <c r="AN12" s="38">
        <v>0</v>
      </c>
      <c r="AO12" s="39">
        <f t="shared" si="5"/>
        <v>0</v>
      </c>
      <c r="AP12" s="40">
        <f t="shared" si="6"/>
        <v>0</v>
      </c>
      <c r="AQ12" s="28">
        <v>0</v>
      </c>
      <c r="AR12" s="41">
        <v>0</v>
      </c>
      <c r="AS12" s="30">
        <f t="shared" si="29"/>
        <v>0</v>
      </c>
      <c r="AT12" s="30">
        <f t="shared" si="29"/>
        <v>0</v>
      </c>
      <c r="AU12" s="42">
        <f t="shared" si="31"/>
        <v>0</v>
      </c>
      <c r="AV12" s="33">
        <f t="shared" si="32"/>
        <v>0</v>
      </c>
      <c r="AW12" s="46">
        <f t="shared" si="32"/>
        <v>0</v>
      </c>
      <c r="AX12" s="33">
        <f t="shared" si="32"/>
        <v>0</v>
      </c>
      <c r="AY12" s="46">
        <f t="shared" si="32"/>
        <v>0</v>
      </c>
      <c r="AZ12" s="48">
        <f t="shared" si="36"/>
        <v>0</v>
      </c>
      <c r="BA12" s="49">
        <f t="shared" si="36"/>
        <v>0</v>
      </c>
      <c r="BB12" s="49">
        <f t="shared" si="36"/>
        <v>0</v>
      </c>
      <c r="BC12" s="50">
        <f t="shared" si="39"/>
        <v>0</v>
      </c>
      <c r="BD12" s="51"/>
    </row>
    <row r="13" spans="1:56" s="52" customFormat="1" ht="21.75" customHeight="1" x14ac:dyDescent="0.15">
      <c r="A13" s="53">
        <v>46118</v>
      </c>
      <c r="B13" s="27">
        <v>189182</v>
      </c>
      <c r="C13" s="28">
        <v>145000</v>
      </c>
      <c r="D13" s="29">
        <f>B13/C13</f>
        <v>1.3047034482758622</v>
      </c>
      <c r="E13" s="30">
        <v>0</v>
      </c>
      <c r="F13" s="31">
        <v>316039</v>
      </c>
      <c r="G13" s="32">
        <f t="shared" si="0"/>
        <v>505221</v>
      </c>
      <c r="H13" s="33">
        <v>0</v>
      </c>
      <c r="I13" s="34">
        <v>0</v>
      </c>
      <c r="J13" s="35">
        <v>0</v>
      </c>
      <c r="K13" s="36">
        <v>0</v>
      </c>
      <c r="L13" s="37">
        <v>125551</v>
      </c>
      <c r="M13" s="38">
        <v>63631</v>
      </c>
      <c r="N13" s="38">
        <v>0</v>
      </c>
      <c r="O13" s="39">
        <f t="shared" si="1"/>
        <v>189182</v>
      </c>
      <c r="P13" s="40">
        <v>76507</v>
      </c>
      <c r="Q13" s="28">
        <v>70000</v>
      </c>
      <c r="R13" s="29">
        <f>P13/Q13</f>
        <v>1.092957142857143</v>
      </c>
      <c r="S13" s="30">
        <v>0</v>
      </c>
      <c r="T13" s="31">
        <v>18600</v>
      </c>
      <c r="U13" s="32">
        <f t="shared" si="2"/>
        <v>95107</v>
      </c>
      <c r="V13" s="33">
        <v>0</v>
      </c>
      <c r="W13" s="34">
        <v>0</v>
      </c>
      <c r="X13" s="35">
        <v>0</v>
      </c>
      <c r="Y13" s="36">
        <v>0</v>
      </c>
      <c r="Z13" s="37">
        <v>76507</v>
      </c>
      <c r="AA13" s="38">
        <v>0</v>
      </c>
      <c r="AB13" s="38">
        <v>0</v>
      </c>
      <c r="AC13" s="39">
        <f t="shared" si="3"/>
        <v>76507</v>
      </c>
      <c r="AD13" s="45">
        <v>98498</v>
      </c>
      <c r="AE13" s="28">
        <v>200000</v>
      </c>
      <c r="AF13" s="41">
        <f>AD13/AE13</f>
        <v>0.49248999999999998</v>
      </c>
      <c r="AG13" s="32">
        <f t="shared" si="4"/>
        <v>98498</v>
      </c>
      <c r="AH13" s="35">
        <v>0</v>
      </c>
      <c r="AI13" s="43">
        <v>0</v>
      </c>
      <c r="AJ13" s="35">
        <v>0</v>
      </c>
      <c r="AK13" s="43">
        <v>0</v>
      </c>
      <c r="AL13" s="44">
        <v>0</v>
      </c>
      <c r="AM13" s="38">
        <v>98498</v>
      </c>
      <c r="AN13" s="38">
        <v>0</v>
      </c>
      <c r="AO13" s="39">
        <f t="shared" si="5"/>
        <v>98498</v>
      </c>
      <c r="AP13" s="40">
        <f t="shared" si="6"/>
        <v>364187</v>
      </c>
      <c r="AQ13" s="28">
        <v>415000</v>
      </c>
      <c r="AR13" s="41">
        <f>AP13/AQ13</f>
        <v>0.87755903614457831</v>
      </c>
      <c r="AS13" s="30">
        <f t="shared" si="29"/>
        <v>0</v>
      </c>
      <c r="AT13" s="30">
        <f t="shared" si="29"/>
        <v>334639</v>
      </c>
      <c r="AU13" s="42">
        <f t="shared" si="31"/>
        <v>698826</v>
      </c>
      <c r="AV13" s="33">
        <f t="shared" si="32"/>
        <v>0</v>
      </c>
      <c r="AW13" s="46">
        <f t="shared" si="32"/>
        <v>0</v>
      </c>
      <c r="AX13" s="33">
        <f t="shared" si="32"/>
        <v>0</v>
      </c>
      <c r="AY13" s="47">
        <f t="shared" si="32"/>
        <v>0</v>
      </c>
      <c r="AZ13" s="48">
        <f t="shared" si="36"/>
        <v>202058</v>
      </c>
      <c r="BA13" s="49">
        <f t="shared" si="36"/>
        <v>162129</v>
      </c>
      <c r="BB13" s="49">
        <f t="shared" si="36"/>
        <v>0</v>
      </c>
      <c r="BC13" s="50">
        <f t="shared" si="39"/>
        <v>364187</v>
      </c>
      <c r="BD13" s="51"/>
    </row>
    <row r="14" spans="1:56" s="52" customFormat="1" ht="21.75" customHeight="1" x14ac:dyDescent="0.15">
      <c r="A14" s="53">
        <v>46119</v>
      </c>
      <c r="B14" s="27">
        <v>255451</v>
      </c>
      <c r="C14" s="28">
        <v>145000</v>
      </c>
      <c r="D14" s="29">
        <f>B14/C14</f>
        <v>1.7617310344827586</v>
      </c>
      <c r="E14" s="30">
        <v>0</v>
      </c>
      <c r="F14" s="31">
        <v>50600</v>
      </c>
      <c r="G14" s="32">
        <f t="shared" si="0"/>
        <v>306051</v>
      </c>
      <c r="H14" s="33">
        <v>0</v>
      </c>
      <c r="I14" s="34">
        <v>0</v>
      </c>
      <c r="J14" s="35">
        <v>0</v>
      </c>
      <c r="K14" s="36">
        <v>0</v>
      </c>
      <c r="L14" s="37">
        <v>155762</v>
      </c>
      <c r="M14" s="38">
        <v>99689</v>
      </c>
      <c r="N14" s="38">
        <v>0</v>
      </c>
      <c r="O14" s="39">
        <f t="shared" si="1"/>
        <v>255451</v>
      </c>
      <c r="P14" s="40">
        <v>101098</v>
      </c>
      <c r="Q14" s="28">
        <v>70000</v>
      </c>
      <c r="R14" s="29">
        <f>P14/Q14</f>
        <v>1.4442571428571429</v>
      </c>
      <c r="S14" s="30">
        <v>22513</v>
      </c>
      <c r="T14" s="31">
        <v>0</v>
      </c>
      <c r="U14" s="32">
        <f t="shared" si="2"/>
        <v>123611</v>
      </c>
      <c r="V14" s="33">
        <v>0</v>
      </c>
      <c r="W14" s="34">
        <v>0</v>
      </c>
      <c r="X14" s="35">
        <v>0</v>
      </c>
      <c r="Y14" s="36">
        <v>0</v>
      </c>
      <c r="Z14" s="37">
        <v>48498</v>
      </c>
      <c r="AA14" s="38">
        <v>52600</v>
      </c>
      <c r="AB14" s="38">
        <v>0</v>
      </c>
      <c r="AC14" s="39">
        <f t="shared" si="3"/>
        <v>101098</v>
      </c>
      <c r="AD14" s="45">
        <v>10420</v>
      </c>
      <c r="AE14" s="28">
        <v>200000</v>
      </c>
      <c r="AF14" s="41">
        <f>AD14/AE14</f>
        <v>5.21E-2</v>
      </c>
      <c r="AG14" s="32">
        <f t="shared" si="4"/>
        <v>10420</v>
      </c>
      <c r="AH14" s="35">
        <v>0</v>
      </c>
      <c r="AI14" s="43">
        <v>0</v>
      </c>
      <c r="AJ14" s="35">
        <v>22730</v>
      </c>
      <c r="AK14" s="43">
        <v>0</v>
      </c>
      <c r="AL14" s="44">
        <v>10420</v>
      </c>
      <c r="AM14" s="38">
        <v>0</v>
      </c>
      <c r="AN14" s="38">
        <v>0</v>
      </c>
      <c r="AO14" s="39">
        <f t="shared" si="5"/>
        <v>10420</v>
      </c>
      <c r="AP14" s="40">
        <f t="shared" si="6"/>
        <v>366969</v>
      </c>
      <c r="AQ14" s="28">
        <v>415000</v>
      </c>
      <c r="AR14" s="41">
        <f>AP14/AQ14</f>
        <v>0.88426265060240961</v>
      </c>
      <c r="AS14" s="30">
        <f t="shared" si="29"/>
        <v>22513</v>
      </c>
      <c r="AT14" s="30">
        <f t="shared" si="29"/>
        <v>50600</v>
      </c>
      <c r="AU14" s="42">
        <f t="shared" si="31"/>
        <v>440082</v>
      </c>
      <c r="AV14" s="33">
        <f t="shared" si="32"/>
        <v>0</v>
      </c>
      <c r="AW14" s="46">
        <f t="shared" si="32"/>
        <v>0</v>
      </c>
      <c r="AX14" s="33">
        <f t="shared" si="32"/>
        <v>22730</v>
      </c>
      <c r="AY14" s="46">
        <f t="shared" si="32"/>
        <v>0</v>
      </c>
      <c r="AZ14" s="48">
        <f t="shared" si="36"/>
        <v>214680</v>
      </c>
      <c r="BA14" s="49">
        <f t="shared" si="36"/>
        <v>152289</v>
      </c>
      <c r="BB14" s="49">
        <f t="shared" si="36"/>
        <v>0</v>
      </c>
      <c r="BC14" s="50">
        <f t="shared" si="39"/>
        <v>366969</v>
      </c>
      <c r="BD14" s="51"/>
    </row>
    <row r="15" spans="1:56" s="52" customFormat="1" ht="21.75" customHeight="1" x14ac:dyDescent="0.15">
      <c r="A15" s="53">
        <v>46120</v>
      </c>
      <c r="B15" s="27">
        <v>67566</v>
      </c>
      <c r="C15" s="28">
        <v>145000</v>
      </c>
      <c r="D15" s="29">
        <f>B15/C15</f>
        <v>0.46597241379310345</v>
      </c>
      <c r="E15" s="30">
        <v>0</v>
      </c>
      <c r="F15" s="31">
        <v>368800</v>
      </c>
      <c r="G15" s="32">
        <f t="shared" si="0"/>
        <v>436366</v>
      </c>
      <c r="H15" s="33">
        <v>0</v>
      </c>
      <c r="I15" s="34">
        <v>0</v>
      </c>
      <c r="J15" s="35">
        <v>0</v>
      </c>
      <c r="K15" s="36">
        <v>118849</v>
      </c>
      <c r="L15" s="37">
        <v>67566</v>
      </c>
      <c r="M15" s="38">
        <v>0</v>
      </c>
      <c r="N15" s="38">
        <v>0</v>
      </c>
      <c r="O15" s="39">
        <f t="shared" si="1"/>
        <v>67566</v>
      </c>
      <c r="P15" s="40">
        <v>24539</v>
      </c>
      <c r="Q15" s="28">
        <v>70000</v>
      </c>
      <c r="R15" s="29">
        <f>P15/Q15</f>
        <v>0.35055714285714284</v>
      </c>
      <c r="S15" s="30">
        <v>18201</v>
      </c>
      <c r="T15" s="31">
        <v>138600</v>
      </c>
      <c r="U15" s="32">
        <f t="shared" si="2"/>
        <v>181340</v>
      </c>
      <c r="V15" s="33">
        <v>0</v>
      </c>
      <c r="W15" s="34">
        <v>0</v>
      </c>
      <c r="X15" s="35">
        <v>0</v>
      </c>
      <c r="Y15" s="36">
        <v>0</v>
      </c>
      <c r="Z15" s="37">
        <v>20187</v>
      </c>
      <c r="AA15" s="38">
        <v>0</v>
      </c>
      <c r="AB15" s="38">
        <v>4352</v>
      </c>
      <c r="AC15" s="39">
        <f t="shared" si="3"/>
        <v>24539</v>
      </c>
      <c r="AD15" s="45">
        <v>0</v>
      </c>
      <c r="AE15" s="28">
        <v>200000</v>
      </c>
      <c r="AF15" s="41">
        <f>AD15/AE15</f>
        <v>0</v>
      </c>
      <c r="AG15" s="32">
        <f t="shared" si="4"/>
        <v>0</v>
      </c>
      <c r="AH15" s="35">
        <v>0</v>
      </c>
      <c r="AI15" s="43">
        <v>0</v>
      </c>
      <c r="AJ15" s="35">
        <v>73770</v>
      </c>
      <c r="AK15" s="43">
        <v>0</v>
      </c>
      <c r="AL15" s="44">
        <v>0</v>
      </c>
      <c r="AM15" s="38">
        <v>0</v>
      </c>
      <c r="AN15" s="38">
        <v>0</v>
      </c>
      <c r="AO15" s="39">
        <f t="shared" si="5"/>
        <v>0</v>
      </c>
      <c r="AP15" s="40">
        <f t="shared" si="6"/>
        <v>92105</v>
      </c>
      <c r="AQ15" s="28">
        <v>415000</v>
      </c>
      <c r="AR15" s="41">
        <f>AP15/AQ15</f>
        <v>0.22193975903614457</v>
      </c>
      <c r="AS15" s="30">
        <f t="shared" si="29"/>
        <v>18201</v>
      </c>
      <c r="AT15" s="30">
        <f t="shared" si="29"/>
        <v>507400</v>
      </c>
      <c r="AU15" s="42">
        <f t="shared" si="31"/>
        <v>617706</v>
      </c>
      <c r="AV15" s="33">
        <f t="shared" si="32"/>
        <v>0</v>
      </c>
      <c r="AW15" s="46">
        <f t="shared" si="32"/>
        <v>0</v>
      </c>
      <c r="AX15" s="33">
        <f t="shared" si="32"/>
        <v>73770</v>
      </c>
      <c r="AY15" s="46">
        <f t="shared" si="32"/>
        <v>118849</v>
      </c>
      <c r="AZ15" s="48">
        <f t="shared" si="36"/>
        <v>87753</v>
      </c>
      <c r="BA15" s="49">
        <f t="shared" si="36"/>
        <v>0</v>
      </c>
      <c r="BB15" s="49">
        <f t="shared" si="36"/>
        <v>4352</v>
      </c>
      <c r="BC15" s="50">
        <f t="shared" si="39"/>
        <v>92105</v>
      </c>
      <c r="BD15" s="51"/>
    </row>
    <row r="16" spans="1:56" s="52" customFormat="1" ht="21.75" customHeight="1" x14ac:dyDescent="0.15">
      <c r="A16" s="53">
        <v>46121</v>
      </c>
      <c r="B16" s="27">
        <v>163924</v>
      </c>
      <c r="C16" s="28">
        <v>145000</v>
      </c>
      <c r="D16" s="29">
        <f>B16/C16</f>
        <v>1.1305103448275862</v>
      </c>
      <c r="E16" s="30">
        <v>0</v>
      </c>
      <c r="F16" s="31">
        <v>0</v>
      </c>
      <c r="G16" s="32">
        <f t="shared" si="0"/>
        <v>163924</v>
      </c>
      <c r="H16" s="33">
        <v>0</v>
      </c>
      <c r="I16" s="34">
        <v>0</v>
      </c>
      <c r="J16" s="35">
        <v>0</v>
      </c>
      <c r="K16" s="36">
        <v>0</v>
      </c>
      <c r="L16" s="37">
        <v>84360</v>
      </c>
      <c r="M16" s="38">
        <v>79564</v>
      </c>
      <c r="N16" s="38">
        <v>0</v>
      </c>
      <c r="O16" s="39">
        <f t="shared" si="1"/>
        <v>163924</v>
      </c>
      <c r="P16" s="40">
        <v>163691</v>
      </c>
      <c r="Q16" s="28">
        <v>70000</v>
      </c>
      <c r="R16" s="29">
        <f>P16/Q16</f>
        <v>2.3384428571428573</v>
      </c>
      <c r="S16" s="30">
        <v>0</v>
      </c>
      <c r="T16" s="31">
        <v>0</v>
      </c>
      <c r="U16" s="32">
        <f t="shared" si="2"/>
        <v>163691</v>
      </c>
      <c r="V16" s="33">
        <v>0</v>
      </c>
      <c r="W16" s="34">
        <v>0</v>
      </c>
      <c r="X16" s="35">
        <v>0</v>
      </c>
      <c r="Y16" s="36">
        <v>0</v>
      </c>
      <c r="Z16" s="37">
        <v>18585</v>
      </c>
      <c r="AA16" s="38">
        <v>145106</v>
      </c>
      <c r="AB16" s="38">
        <v>0</v>
      </c>
      <c r="AC16" s="39">
        <f t="shared" si="3"/>
        <v>163691</v>
      </c>
      <c r="AD16" s="45">
        <v>0</v>
      </c>
      <c r="AE16" s="28">
        <v>200000</v>
      </c>
      <c r="AF16" s="41">
        <f>AD16/AE16</f>
        <v>0</v>
      </c>
      <c r="AG16" s="32">
        <f t="shared" si="4"/>
        <v>0</v>
      </c>
      <c r="AH16" s="35">
        <v>0</v>
      </c>
      <c r="AI16" s="43">
        <v>0</v>
      </c>
      <c r="AJ16" s="35">
        <v>0</v>
      </c>
      <c r="AK16" s="43">
        <v>0</v>
      </c>
      <c r="AL16" s="44">
        <v>0</v>
      </c>
      <c r="AM16" s="38">
        <v>0</v>
      </c>
      <c r="AN16" s="38">
        <v>0</v>
      </c>
      <c r="AO16" s="39">
        <f t="shared" si="5"/>
        <v>0</v>
      </c>
      <c r="AP16" s="40">
        <f t="shared" si="6"/>
        <v>327615</v>
      </c>
      <c r="AQ16" s="28">
        <v>415000</v>
      </c>
      <c r="AR16" s="41">
        <f>AP16/AQ16</f>
        <v>0.78943373493975899</v>
      </c>
      <c r="AS16" s="30">
        <f t="shared" si="29"/>
        <v>0</v>
      </c>
      <c r="AT16" s="30">
        <f t="shared" si="29"/>
        <v>0</v>
      </c>
      <c r="AU16" s="42">
        <f t="shared" si="31"/>
        <v>327615</v>
      </c>
      <c r="AV16" s="33">
        <f t="shared" si="32"/>
        <v>0</v>
      </c>
      <c r="AW16" s="46">
        <f t="shared" si="32"/>
        <v>0</v>
      </c>
      <c r="AX16" s="33">
        <f t="shared" si="32"/>
        <v>0</v>
      </c>
      <c r="AY16" s="47">
        <f t="shared" si="32"/>
        <v>0</v>
      </c>
      <c r="AZ16" s="48">
        <f t="shared" si="36"/>
        <v>102945</v>
      </c>
      <c r="BA16" s="49">
        <f t="shared" si="36"/>
        <v>224670</v>
      </c>
      <c r="BB16" s="49">
        <f t="shared" si="36"/>
        <v>0</v>
      </c>
      <c r="BC16" s="50">
        <f t="shared" si="39"/>
        <v>327615</v>
      </c>
      <c r="BD16" s="51"/>
    </row>
    <row r="17" spans="1:56" s="52" customFormat="1" ht="21.75" customHeight="1" x14ac:dyDescent="0.15">
      <c r="A17" s="53">
        <v>46122</v>
      </c>
      <c r="B17" s="27">
        <v>85786</v>
      </c>
      <c r="C17" s="28">
        <v>145000</v>
      </c>
      <c r="D17" s="29">
        <f>B17/C17</f>
        <v>0.59162758620689659</v>
      </c>
      <c r="E17" s="30">
        <v>152676</v>
      </c>
      <c r="F17" s="31">
        <v>316600</v>
      </c>
      <c r="G17" s="32">
        <f t="shared" si="0"/>
        <v>555062</v>
      </c>
      <c r="H17" s="33">
        <v>0</v>
      </c>
      <c r="I17" s="34">
        <v>0</v>
      </c>
      <c r="J17" s="35">
        <v>0</v>
      </c>
      <c r="K17" s="36">
        <v>0</v>
      </c>
      <c r="L17" s="37">
        <v>85786</v>
      </c>
      <c r="M17" s="38">
        <v>0</v>
      </c>
      <c r="N17" s="38">
        <v>0</v>
      </c>
      <c r="O17" s="39">
        <f t="shared" si="1"/>
        <v>85786</v>
      </c>
      <c r="P17" s="40">
        <v>3087</v>
      </c>
      <c r="Q17" s="28">
        <v>70000</v>
      </c>
      <c r="R17" s="29">
        <f>P17/Q17</f>
        <v>4.41E-2</v>
      </c>
      <c r="S17" s="30">
        <v>85184</v>
      </c>
      <c r="T17" s="31">
        <v>0</v>
      </c>
      <c r="U17" s="32">
        <f t="shared" si="2"/>
        <v>88271</v>
      </c>
      <c r="V17" s="33">
        <v>0</v>
      </c>
      <c r="W17" s="34">
        <v>0</v>
      </c>
      <c r="X17" s="35">
        <v>6594</v>
      </c>
      <c r="Y17" s="36">
        <v>0</v>
      </c>
      <c r="Z17" s="37">
        <v>3087</v>
      </c>
      <c r="AA17" s="38">
        <v>0</v>
      </c>
      <c r="AB17" s="38">
        <v>0</v>
      </c>
      <c r="AC17" s="39">
        <f t="shared" si="3"/>
        <v>3087</v>
      </c>
      <c r="AD17" s="45">
        <v>53240</v>
      </c>
      <c r="AE17" s="28">
        <v>200000</v>
      </c>
      <c r="AF17" s="41">
        <f>AD17/AE17</f>
        <v>0.26619999999999999</v>
      </c>
      <c r="AG17" s="32">
        <f t="shared" si="4"/>
        <v>53240</v>
      </c>
      <c r="AH17" s="35">
        <v>0</v>
      </c>
      <c r="AI17" s="43">
        <v>0</v>
      </c>
      <c r="AJ17" s="35">
        <v>0</v>
      </c>
      <c r="AK17" s="43">
        <v>0</v>
      </c>
      <c r="AL17" s="44">
        <v>53240</v>
      </c>
      <c r="AM17" s="38">
        <v>0</v>
      </c>
      <c r="AN17" s="38">
        <v>0</v>
      </c>
      <c r="AO17" s="39">
        <f t="shared" si="5"/>
        <v>53240</v>
      </c>
      <c r="AP17" s="40">
        <f t="shared" si="6"/>
        <v>142113</v>
      </c>
      <c r="AQ17" s="28">
        <v>415000</v>
      </c>
      <c r="AR17" s="41">
        <f>AP17/AQ17</f>
        <v>0.34244096385542167</v>
      </c>
      <c r="AS17" s="30">
        <f t="shared" si="29"/>
        <v>237860</v>
      </c>
      <c r="AT17" s="30">
        <f t="shared" si="29"/>
        <v>316600</v>
      </c>
      <c r="AU17" s="42">
        <f t="shared" si="31"/>
        <v>696573</v>
      </c>
      <c r="AV17" s="33">
        <f t="shared" si="32"/>
        <v>0</v>
      </c>
      <c r="AW17" s="46">
        <f t="shared" si="32"/>
        <v>0</v>
      </c>
      <c r="AX17" s="33">
        <f t="shared" si="32"/>
        <v>6594</v>
      </c>
      <c r="AY17" s="46">
        <f t="shared" si="32"/>
        <v>0</v>
      </c>
      <c r="AZ17" s="48">
        <f t="shared" si="36"/>
        <v>142113</v>
      </c>
      <c r="BA17" s="49">
        <f t="shared" si="36"/>
        <v>0</v>
      </c>
      <c r="BB17" s="49">
        <f t="shared" si="36"/>
        <v>0</v>
      </c>
      <c r="BC17" s="50">
        <f t="shared" si="39"/>
        <v>142113</v>
      </c>
      <c r="BD17" s="51"/>
    </row>
    <row r="18" spans="1:56" s="52" customFormat="1" ht="21.75" customHeight="1" x14ac:dyDescent="0.15">
      <c r="A18" s="26">
        <v>46123</v>
      </c>
      <c r="B18" s="27">
        <v>0</v>
      </c>
      <c r="C18" s="28">
        <v>0</v>
      </c>
      <c r="D18" s="29">
        <v>0</v>
      </c>
      <c r="E18" s="30">
        <v>0</v>
      </c>
      <c r="F18" s="31">
        <v>0</v>
      </c>
      <c r="G18" s="32">
        <f t="shared" ref="G18:G24" si="40">B18+E18+F18</f>
        <v>0</v>
      </c>
      <c r="H18" s="33">
        <v>0</v>
      </c>
      <c r="I18" s="34">
        <v>0</v>
      </c>
      <c r="J18" s="35">
        <v>0</v>
      </c>
      <c r="K18" s="36">
        <v>0</v>
      </c>
      <c r="L18" s="37">
        <v>0</v>
      </c>
      <c r="M18" s="38">
        <v>0</v>
      </c>
      <c r="N18" s="38">
        <v>0</v>
      </c>
      <c r="O18" s="39">
        <f t="shared" ref="O18:O24" si="41">SUM(L18:N18)</f>
        <v>0</v>
      </c>
      <c r="P18" s="40">
        <v>0</v>
      </c>
      <c r="Q18" s="28">
        <v>0</v>
      </c>
      <c r="R18" s="29">
        <v>0</v>
      </c>
      <c r="S18" s="30">
        <v>0</v>
      </c>
      <c r="T18" s="31">
        <v>0</v>
      </c>
      <c r="U18" s="32">
        <f t="shared" ref="U18:U24" si="42">P18+S18+T18</f>
        <v>0</v>
      </c>
      <c r="V18" s="33">
        <v>0</v>
      </c>
      <c r="W18" s="34">
        <v>0</v>
      </c>
      <c r="X18" s="35">
        <v>0</v>
      </c>
      <c r="Y18" s="36">
        <v>0</v>
      </c>
      <c r="Z18" s="37">
        <v>0</v>
      </c>
      <c r="AA18" s="38">
        <v>0</v>
      </c>
      <c r="AB18" s="38">
        <v>0</v>
      </c>
      <c r="AC18" s="39">
        <f t="shared" ref="AC18:AC24" si="43">SUM(Z18:AB18)</f>
        <v>0</v>
      </c>
      <c r="AD18" s="45">
        <v>0</v>
      </c>
      <c r="AE18" s="28">
        <v>0</v>
      </c>
      <c r="AF18" s="41">
        <v>0</v>
      </c>
      <c r="AG18" s="32">
        <f t="shared" ref="AG18:AG24" si="44">AD18</f>
        <v>0</v>
      </c>
      <c r="AH18" s="35">
        <v>0</v>
      </c>
      <c r="AI18" s="43">
        <v>0</v>
      </c>
      <c r="AJ18" s="35">
        <v>0</v>
      </c>
      <c r="AK18" s="43">
        <v>0</v>
      </c>
      <c r="AL18" s="44">
        <v>0</v>
      </c>
      <c r="AM18" s="38">
        <v>0</v>
      </c>
      <c r="AN18" s="38">
        <v>0</v>
      </c>
      <c r="AO18" s="39">
        <f t="shared" ref="AO18:AO24" si="45">SUM(AL18:AN18)</f>
        <v>0</v>
      </c>
      <c r="AP18" s="40">
        <f t="shared" ref="AP18:AP24" si="46">AD18+P18+B18</f>
        <v>0</v>
      </c>
      <c r="AQ18" s="28">
        <v>0</v>
      </c>
      <c r="AR18" s="41">
        <v>0</v>
      </c>
      <c r="AS18" s="30">
        <f t="shared" ref="AS18:AS24" si="47">E18+S18</f>
        <v>0</v>
      </c>
      <c r="AT18" s="30">
        <f t="shared" ref="AT18:AT24" si="48">F18+T18</f>
        <v>0</v>
      </c>
      <c r="AU18" s="42">
        <f t="shared" ref="AU18:AU24" si="49">AP18+AS18+AT18</f>
        <v>0</v>
      </c>
      <c r="AV18" s="33">
        <f t="shared" ref="AV18:AV24" si="50">SUM(H18,V18,AH18)</f>
        <v>0</v>
      </c>
      <c r="AW18" s="46">
        <f t="shared" ref="AW18:AW24" si="51">SUM(I18,W18,AI18)</f>
        <v>0</v>
      </c>
      <c r="AX18" s="33">
        <f t="shared" ref="AX18:AX24" si="52">SUM(J18,X18,AJ18)</f>
        <v>0</v>
      </c>
      <c r="AY18" s="46">
        <f t="shared" ref="AY18:AY24" si="53">SUM(K18,Y18,AK18)</f>
        <v>0</v>
      </c>
      <c r="AZ18" s="48">
        <f t="shared" ref="AZ18:AZ24" si="54">L18+Z18+AL18</f>
        <v>0</v>
      </c>
      <c r="BA18" s="49">
        <f t="shared" ref="BA18:BA24" si="55">M18+AA18+AM18</f>
        <v>0</v>
      </c>
      <c r="BB18" s="49">
        <f t="shared" ref="BB18:BB24" si="56">N18+AB18+AN18</f>
        <v>0</v>
      </c>
      <c r="BC18" s="50">
        <f t="shared" ref="BC18:BC24" si="57">SUM(AZ18:BB18)</f>
        <v>0</v>
      </c>
      <c r="BD18" s="51"/>
    </row>
    <row r="19" spans="1:56" s="52" customFormat="1" ht="21.75" customHeight="1" x14ac:dyDescent="0.15">
      <c r="A19" s="26">
        <v>46124</v>
      </c>
      <c r="B19" s="27">
        <v>0</v>
      </c>
      <c r="C19" s="28">
        <v>0</v>
      </c>
      <c r="D19" s="29">
        <v>0</v>
      </c>
      <c r="E19" s="30">
        <v>0</v>
      </c>
      <c r="F19" s="31">
        <v>0</v>
      </c>
      <c r="G19" s="32">
        <f t="shared" si="40"/>
        <v>0</v>
      </c>
      <c r="H19" s="33">
        <v>0</v>
      </c>
      <c r="I19" s="34">
        <v>0</v>
      </c>
      <c r="J19" s="35">
        <v>0</v>
      </c>
      <c r="K19" s="36">
        <v>0</v>
      </c>
      <c r="L19" s="37">
        <v>0</v>
      </c>
      <c r="M19" s="38">
        <v>0</v>
      </c>
      <c r="N19" s="38">
        <v>0</v>
      </c>
      <c r="O19" s="39">
        <f t="shared" si="41"/>
        <v>0</v>
      </c>
      <c r="P19" s="40">
        <v>0</v>
      </c>
      <c r="Q19" s="28">
        <v>0</v>
      </c>
      <c r="R19" s="29">
        <v>0</v>
      </c>
      <c r="S19" s="30">
        <v>0</v>
      </c>
      <c r="T19" s="31">
        <v>0</v>
      </c>
      <c r="U19" s="32">
        <f t="shared" si="42"/>
        <v>0</v>
      </c>
      <c r="V19" s="33">
        <v>0</v>
      </c>
      <c r="W19" s="34">
        <v>0</v>
      </c>
      <c r="X19" s="35">
        <v>0</v>
      </c>
      <c r="Y19" s="36">
        <v>0</v>
      </c>
      <c r="Z19" s="37">
        <v>0</v>
      </c>
      <c r="AA19" s="38">
        <v>0</v>
      </c>
      <c r="AB19" s="38">
        <v>0</v>
      </c>
      <c r="AC19" s="39">
        <f t="shared" si="43"/>
        <v>0</v>
      </c>
      <c r="AD19" s="45">
        <v>0</v>
      </c>
      <c r="AE19" s="28">
        <v>0</v>
      </c>
      <c r="AF19" s="41">
        <v>0</v>
      </c>
      <c r="AG19" s="32">
        <f t="shared" si="44"/>
        <v>0</v>
      </c>
      <c r="AH19" s="35">
        <v>0</v>
      </c>
      <c r="AI19" s="43">
        <v>0</v>
      </c>
      <c r="AJ19" s="35">
        <v>0</v>
      </c>
      <c r="AK19" s="43">
        <v>0</v>
      </c>
      <c r="AL19" s="44">
        <v>0</v>
      </c>
      <c r="AM19" s="38">
        <v>0</v>
      </c>
      <c r="AN19" s="38">
        <v>0</v>
      </c>
      <c r="AO19" s="39">
        <f t="shared" si="45"/>
        <v>0</v>
      </c>
      <c r="AP19" s="40">
        <f t="shared" si="46"/>
        <v>0</v>
      </c>
      <c r="AQ19" s="28">
        <v>0</v>
      </c>
      <c r="AR19" s="41">
        <v>0</v>
      </c>
      <c r="AS19" s="30">
        <f t="shared" si="47"/>
        <v>0</v>
      </c>
      <c r="AT19" s="30">
        <f t="shared" si="48"/>
        <v>0</v>
      </c>
      <c r="AU19" s="42">
        <f t="shared" si="49"/>
        <v>0</v>
      </c>
      <c r="AV19" s="33">
        <f t="shared" si="50"/>
        <v>0</v>
      </c>
      <c r="AW19" s="46">
        <f t="shared" si="51"/>
        <v>0</v>
      </c>
      <c r="AX19" s="33">
        <f t="shared" si="52"/>
        <v>0</v>
      </c>
      <c r="AY19" s="46">
        <f t="shared" si="53"/>
        <v>0</v>
      </c>
      <c r="AZ19" s="48">
        <f t="shared" si="54"/>
        <v>0</v>
      </c>
      <c r="BA19" s="49">
        <f t="shared" si="55"/>
        <v>0</v>
      </c>
      <c r="BB19" s="49">
        <f t="shared" si="56"/>
        <v>0</v>
      </c>
      <c r="BC19" s="50">
        <f t="shared" si="57"/>
        <v>0</v>
      </c>
      <c r="BD19" s="51"/>
    </row>
    <row r="20" spans="1:56" s="52" customFormat="1" ht="21.75" customHeight="1" x14ac:dyDescent="0.15">
      <c r="A20" s="53">
        <v>46125</v>
      </c>
      <c r="B20" s="27">
        <v>98468</v>
      </c>
      <c r="C20" s="28">
        <v>145000</v>
      </c>
      <c r="D20" s="29">
        <f>B20/C20</f>
        <v>0.67908965517241382</v>
      </c>
      <c r="E20" s="30">
        <v>0</v>
      </c>
      <c r="F20" s="31">
        <v>202400</v>
      </c>
      <c r="G20" s="32">
        <f t="shared" si="40"/>
        <v>300868</v>
      </c>
      <c r="H20" s="33">
        <v>0</v>
      </c>
      <c r="I20" s="34">
        <v>0</v>
      </c>
      <c r="J20" s="35">
        <v>0</v>
      </c>
      <c r="K20" s="36">
        <v>0</v>
      </c>
      <c r="L20" s="37">
        <v>98468</v>
      </c>
      <c r="M20" s="38">
        <v>0</v>
      </c>
      <c r="N20" s="38">
        <v>0</v>
      </c>
      <c r="O20" s="39">
        <f t="shared" si="41"/>
        <v>98468</v>
      </c>
      <c r="P20" s="40">
        <v>99463</v>
      </c>
      <c r="Q20" s="28">
        <v>70000</v>
      </c>
      <c r="R20" s="29">
        <f>P20/Q20</f>
        <v>1.4209000000000001</v>
      </c>
      <c r="S20" s="30">
        <v>18960</v>
      </c>
      <c r="T20" s="31">
        <v>0</v>
      </c>
      <c r="U20" s="32">
        <f t="shared" si="42"/>
        <v>118423</v>
      </c>
      <c r="V20" s="33">
        <v>0</v>
      </c>
      <c r="W20" s="34">
        <v>0</v>
      </c>
      <c r="X20" s="35">
        <v>0</v>
      </c>
      <c r="Y20" s="36">
        <v>0</v>
      </c>
      <c r="Z20" s="37">
        <v>37381</v>
      </c>
      <c r="AA20" s="38">
        <v>62082</v>
      </c>
      <c r="AB20" s="38">
        <v>0</v>
      </c>
      <c r="AC20" s="39">
        <f t="shared" si="43"/>
        <v>99463</v>
      </c>
      <c r="AD20" s="45">
        <v>212852</v>
      </c>
      <c r="AE20" s="28">
        <v>200000</v>
      </c>
      <c r="AF20" s="41">
        <f>AD20/AE20</f>
        <v>1.06426</v>
      </c>
      <c r="AG20" s="32">
        <f t="shared" si="44"/>
        <v>212852</v>
      </c>
      <c r="AH20" s="35">
        <v>0</v>
      </c>
      <c r="AI20" s="43">
        <v>0</v>
      </c>
      <c r="AJ20" s="35">
        <v>0</v>
      </c>
      <c r="AK20" s="43">
        <v>0</v>
      </c>
      <c r="AL20" s="44">
        <v>189464</v>
      </c>
      <c r="AM20" s="38">
        <v>5187</v>
      </c>
      <c r="AN20" s="38">
        <v>18201</v>
      </c>
      <c r="AO20" s="39">
        <f t="shared" si="45"/>
        <v>212852</v>
      </c>
      <c r="AP20" s="40">
        <f t="shared" si="46"/>
        <v>410783</v>
      </c>
      <c r="AQ20" s="28">
        <v>415000</v>
      </c>
      <c r="AR20" s="41">
        <f>AP20/AQ20</f>
        <v>0.98983855421686751</v>
      </c>
      <c r="AS20" s="30">
        <f t="shared" si="47"/>
        <v>18960</v>
      </c>
      <c r="AT20" s="30">
        <f t="shared" si="48"/>
        <v>202400</v>
      </c>
      <c r="AU20" s="42">
        <f t="shared" si="49"/>
        <v>632143</v>
      </c>
      <c r="AV20" s="33">
        <f t="shared" si="50"/>
        <v>0</v>
      </c>
      <c r="AW20" s="46">
        <f t="shared" si="51"/>
        <v>0</v>
      </c>
      <c r="AX20" s="33">
        <f t="shared" si="52"/>
        <v>0</v>
      </c>
      <c r="AY20" s="47">
        <f t="shared" si="53"/>
        <v>0</v>
      </c>
      <c r="AZ20" s="48">
        <f t="shared" si="54"/>
        <v>325313</v>
      </c>
      <c r="BA20" s="49">
        <f t="shared" si="55"/>
        <v>67269</v>
      </c>
      <c r="BB20" s="49">
        <f t="shared" si="56"/>
        <v>18201</v>
      </c>
      <c r="BC20" s="50">
        <f t="shared" si="57"/>
        <v>410783</v>
      </c>
      <c r="BD20" s="51"/>
    </row>
    <row r="21" spans="1:56" s="52" customFormat="1" ht="21.75" customHeight="1" x14ac:dyDescent="0.15">
      <c r="A21" s="53">
        <v>46126</v>
      </c>
      <c r="B21" s="27">
        <v>138283</v>
      </c>
      <c r="C21" s="28">
        <v>145000</v>
      </c>
      <c r="D21" s="29">
        <f>B21/C21</f>
        <v>0.95367586206896549</v>
      </c>
      <c r="E21" s="30">
        <v>174704</v>
      </c>
      <c r="F21" s="31">
        <v>0</v>
      </c>
      <c r="G21" s="32">
        <f t="shared" si="40"/>
        <v>312987</v>
      </c>
      <c r="H21" s="33">
        <v>0</v>
      </c>
      <c r="I21" s="34">
        <v>0</v>
      </c>
      <c r="J21" s="35">
        <v>0</v>
      </c>
      <c r="K21" s="36">
        <v>35607</v>
      </c>
      <c r="L21" s="37">
        <v>36412</v>
      </c>
      <c r="M21" s="38">
        <v>101871</v>
      </c>
      <c r="N21" s="38">
        <v>0</v>
      </c>
      <c r="O21" s="39">
        <f t="shared" si="41"/>
        <v>138283</v>
      </c>
      <c r="P21" s="40">
        <v>26234</v>
      </c>
      <c r="Q21" s="28">
        <v>70000</v>
      </c>
      <c r="R21" s="29">
        <f>P21/Q21</f>
        <v>0.37477142857142859</v>
      </c>
      <c r="S21" s="30">
        <v>21588</v>
      </c>
      <c r="T21" s="31">
        <v>0</v>
      </c>
      <c r="U21" s="32">
        <f t="shared" si="42"/>
        <v>47822</v>
      </c>
      <c r="V21" s="33">
        <v>0</v>
      </c>
      <c r="W21" s="34">
        <v>0</v>
      </c>
      <c r="X21" s="35">
        <v>5164</v>
      </c>
      <c r="Y21" s="36">
        <v>0</v>
      </c>
      <c r="Z21" s="37">
        <v>19791</v>
      </c>
      <c r="AA21" s="38">
        <v>6443</v>
      </c>
      <c r="AB21" s="38">
        <v>0</v>
      </c>
      <c r="AC21" s="39">
        <f t="shared" si="43"/>
        <v>26234</v>
      </c>
      <c r="AD21" s="45">
        <v>40548</v>
      </c>
      <c r="AE21" s="28">
        <v>200000</v>
      </c>
      <c r="AF21" s="41">
        <f>AD21/AE21</f>
        <v>0.20274</v>
      </c>
      <c r="AG21" s="32">
        <f t="shared" si="44"/>
        <v>40548</v>
      </c>
      <c r="AH21" s="35">
        <v>0</v>
      </c>
      <c r="AI21" s="43">
        <v>0</v>
      </c>
      <c r="AJ21" s="35">
        <v>92242</v>
      </c>
      <c r="AK21" s="43">
        <v>0</v>
      </c>
      <c r="AL21" s="44">
        <v>18960</v>
      </c>
      <c r="AM21" s="38">
        <v>21588</v>
      </c>
      <c r="AN21" s="38">
        <v>0</v>
      </c>
      <c r="AO21" s="39">
        <f t="shared" si="45"/>
        <v>40548</v>
      </c>
      <c r="AP21" s="40">
        <f t="shared" si="46"/>
        <v>205065</v>
      </c>
      <c r="AQ21" s="28">
        <v>415000</v>
      </c>
      <c r="AR21" s="41">
        <f>AP21/AQ21</f>
        <v>0.49413253012048192</v>
      </c>
      <c r="AS21" s="30">
        <f t="shared" si="47"/>
        <v>196292</v>
      </c>
      <c r="AT21" s="30">
        <f t="shared" si="48"/>
        <v>0</v>
      </c>
      <c r="AU21" s="42">
        <f t="shared" si="49"/>
        <v>401357</v>
      </c>
      <c r="AV21" s="33">
        <f t="shared" si="50"/>
        <v>0</v>
      </c>
      <c r="AW21" s="46">
        <f t="shared" si="51"/>
        <v>0</v>
      </c>
      <c r="AX21" s="33">
        <f t="shared" si="52"/>
        <v>97406</v>
      </c>
      <c r="AY21" s="46">
        <f t="shared" si="53"/>
        <v>35607</v>
      </c>
      <c r="AZ21" s="48">
        <f t="shared" si="54"/>
        <v>75163</v>
      </c>
      <c r="BA21" s="49">
        <f t="shared" si="55"/>
        <v>129902</v>
      </c>
      <c r="BB21" s="49">
        <f t="shared" si="56"/>
        <v>0</v>
      </c>
      <c r="BC21" s="50">
        <f t="shared" si="57"/>
        <v>205065</v>
      </c>
      <c r="BD21" s="51"/>
    </row>
    <row r="22" spans="1:56" s="52" customFormat="1" ht="21.75" customHeight="1" x14ac:dyDescent="0.15">
      <c r="A22" s="53">
        <v>46127</v>
      </c>
      <c r="B22" s="27">
        <v>175066</v>
      </c>
      <c r="C22" s="28">
        <v>145000</v>
      </c>
      <c r="D22" s="29">
        <f>B22/C22</f>
        <v>1.207351724137931</v>
      </c>
      <c r="E22" s="30">
        <v>152676</v>
      </c>
      <c r="F22" s="31">
        <v>149900</v>
      </c>
      <c r="G22" s="32">
        <f t="shared" si="40"/>
        <v>477642</v>
      </c>
      <c r="H22" s="33">
        <v>0</v>
      </c>
      <c r="I22" s="34">
        <v>0</v>
      </c>
      <c r="J22" s="35">
        <v>16249</v>
      </c>
      <c r="K22" s="36">
        <v>0</v>
      </c>
      <c r="L22" s="37">
        <v>175066</v>
      </c>
      <c r="M22" s="38">
        <v>0</v>
      </c>
      <c r="N22" s="38">
        <v>0</v>
      </c>
      <c r="O22" s="39">
        <f t="shared" si="41"/>
        <v>175066</v>
      </c>
      <c r="P22" s="40">
        <v>100039</v>
      </c>
      <c r="Q22" s="28">
        <v>70000</v>
      </c>
      <c r="R22" s="29">
        <f>P22/Q22</f>
        <v>1.4291285714285715</v>
      </c>
      <c r="S22" s="30">
        <v>11857</v>
      </c>
      <c r="T22" s="31">
        <v>183850</v>
      </c>
      <c r="U22" s="32">
        <f t="shared" si="42"/>
        <v>295746</v>
      </c>
      <c r="V22" s="33">
        <v>0</v>
      </c>
      <c r="W22" s="34">
        <v>0</v>
      </c>
      <c r="X22" s="35">
        <v>0</v>
      </c>
      <c r="Y22" s="36">
        <v>0</v>
      </c>
      <c r="Z22" s="37">
        <v>19784</v>
      </c>
      <c r="AA22" s="38">
        <v>80255</v>
      </c>
      <c r="AB22" s="38">
        <v>0</v>
      </c>
      <c r="AC22" s="39">
        <f t="shared" si="43"/>
        <v>100039</v>
      </c>
      <c r="AD22" s="45">
        <v>174704</v>
      </c>
      <c r="AE22" s="28">
        <v>200000</v>
      </c>
      <c r="AF22" s="41">
        <f>AD22/AE22</f>
        <v>0.87351999999999996</v>
      </c>
      <c r="AG22" s="32">
        <f t="shared" si="44"/>
        <v>174704</v>
      </c>
      <c r="AH22" s="35">
        <v>0</v>
      </c>
      <c r="AI22" s="43">
        <v>0</v>
      </c>
      <c r="AJ22" s="35">
        <v>0</v>
      </c>
      <c r="AK22" s="43">
        <v>0</v>
      </c>
      <c r="AL22" s="44">
        <v>174704</v>
      </c>
      <c r="AM22" s="38">
        <v>0</v>
      </c>
      <c r="AN22" s="38">
        <v>0</v>
      </c>
      <c r="AO22" s="39">
        <f t="shared" si="45"/>
        <v>174704</v>
      </c>
      <c r="AP22" s="40">
        <f t="shared" si="46"/>
        <v>449809</v>
      </c>
      <c r="AQ22" s="28">
        <v>415000</v>
      </c>
      <c r="AR22" s="41">
        <f>AP22/AQ22</f>
        <v>1.0838771084337349</v>
      </c>
      <c r="AS22" s="30">
        <f t="shared" si="47"/>
        <v>164533</v>
      </c>
      <c r="AT22" s="30">
        <f t="shared" si="48"/>
        <v>333750</v>
      </c>
      <c r="AU22" s="42">
        <f t="shared" si="49"/>
        <v>948092</v>
      </c>
      <c r="AV22" s="33">
        <f t="shared" si="50"/>
        <v>0</v>
      </c>
      <c r="AW22" s="46">
        <f t="shared" si="51"/>
        <v>0</v>
      </c>
      <c r="AX22" s="33">
        <f t="shared" si="52"/>
        <v>16249</v>
      </c>
      <c r="AY22" s="46">
        <f t="shared" si="53"/>
        <v>0</v>
      </c>
      <c r="AZ22" s="48">
        <f t="shared" si="54"/>
        <v>369554</v>
      </c>
      <c r="BA22" s="49">
        <f t="shared" si="55"/>
        <v>80255</v>
      </c>
      <c r="BB22" s="49">
        <f t="shared" si="56"/>
        <v>0</v>
      </c>
      <c r="BC22" s="50">
        <f t="shared" si="57"/>
        <v>449809</v>
      </c>
      <c r="BD22" s="51"/>
    </row>
    <row r="23" spans="1:56" s="52" customFormat="1" ht="21.75" customHeight="1" x14ac:dyDescent="0.15">
      <c r="A23" s="53">
        <v>46128</v>
      </c>
      <c r="B23" s="27">
        <v>35754</v>
      </c>
      <c r="C23" s="28">
        <v>145000</v>
      </c>
      <c r="D23" s="29">
        <f>B23/C23</f>
        <v>0.24657931034482758</v>
      </c>
      <c r="E23" s="30">
        <v>49184</v>
      </c>
      <c r="F23" s="31">
        <v>202400</v>
      </c>
      <c r="G23" s="32">
        <f t="shared" si="40"/>
        <v>287338</v>
      </c>
      <c r="H23" s="33">
        <v>0</v>
      </c>
      <c r="I23" s="34">
        <v>0</v>
      </c>
      <c r="J23" s="35">
        <v>0</v>
      </c>
      <c r="K23" s="36">
        <v>0</v>
      </c>
      <c r="L23" s="37">
        <v>35754</v>
      </c>
      <c r="M23" s="38">
        <v>0</v>
      </c>
      <c r="N23" s="38">
        <v>0</v>
      </c>
      <c r="O23" s="39">
        <f t="shared" si="41"/>
        <v>35754</v>
      </c>
      <c r="P23" s="40">
        <v>89573</v>
      </c>
      <c r="Q23" s="28">
        <v>70000</v>
      </c>
      <c r="R23" s="29">
        <f>P23/Q23</f>
        <v>1.2796142857142858</v>
      </c>
      <c r="S23" s="30">
        <v>0</v>
      </c>
      <c r="T23" s="31">
        <v>0</v>
      </c>
      <c r="U23" s="32">
        <f t="shared" si="42"/>
        <v>89573</v>
      </c>
      <c r="V23" s="33">
        <v>0</v>
      </c>
      <c r="W23" s="34">
        <v>0</v>
      </c>
      <c r="X23" s="35">
        <v>0</v>
      </c>
      <c r="Y23" s="36">
        <v>19895</v>
      </c>
      <c r="Z23" s="37">
        <v>35349</v>
      </c>
      <c r="AA23" s="38">
        <v>54224</v>
      </c>
      <c r="AB23" s="38">
        <v>0</v>
      </c>
      <c r="AC23" s="39">
        <f t="shared" si="43"/>
        <v>89573</v>
      </c>
      <c r="AD23" s="45">
        <v>164533</v>
      </c>
      <c r="AE23" s="28">
        <v>200000</v>
      </c>
      <c r="AF23" s="41">
        <f>AD23/AE23</f>
        <v>0.82266499999999998</v>
      </c>
      <c r="AG23" s="32">
        <f t="shared" si="44"/>
        <v>164533</v>
      </c>
      <c r="AH23" s="35">
        <v>0</v>
      </c>
      <c r="AI23" s="43">
        <v>0</v>
      </c>
      <c r="AJ23" s="35">
        <v>41122</v>
      </c>
      <c r="AK23" s="43">
        <v>0</v>
      </c>
      <c r="AL23" s="44">
        <v>152676</v>
      </c>
      <c r="AM23" s="38">
        <v>0</v>
      </c>
      <c r="AN23" s="38">
        <v>11857</v>
      </c>
      <c r="AO23" s="39">
        <f t="shared" si="45"/>
        <v>164533</v>
      </c>
      <c r="AP23" s="40">
        <f t="shared" si="46"/>
        <v>289860</v>
      </c>
      <c r="AQ23" s="28">
        <v>415000</v>
      </c>
      <c r="AR23" s="41">
        <f>AP23/AQ23</f>
        <v>0.69845783132530126</v>
      </c>
      <c r="AS23" s="30">
        <f t="shared" si="47"/>
        <v>49184</v>
      </c>
      <c r="AT23" s="30">
        <f t="shared" si="48"/>
        <v>202400</v>
      </c>
      <c r="AU23" s="42">
        <f t="shared" si="49"/>
        <v>541444</v>
      </c>
      <c r="AV23" s="33">
        <f t="shared" si="50"/>
        <v>0</v>
      </c>
      <c r="AW23" s="46">
        <f t="shared" si="51"/>
        <v>0</v>
      </c>
      <c r="AX23" s="33">
        <f t="shared" si="52"/>
        <v>41122</v>
      </c>
      <c r="AY23" s="47">
        <f t="shared" si="53"/>
        <v>19895</v>
      </c>
      <c r="AZ23" s="48">
        <f t="shared" si="54"/>
        <v>223779</v>
      </c>
      <c r="BA23" s="49">
        <f t="shared" si="55"/>
        <v>54224</v>
      </c>
      <c r="BB23" s="49">
        <f t="shared" si="56"/>
        <v>11857</v>
      </c>
      <c r="BC23" s="50">
        <f t="shared" si="57"/>
        <v>289860</v>
      </c>
      <c r="BD23" s="51"/>
    </row>
    <row r="24" spans="1:56" s="52" customFormat="1" ht="21.75" customHeight="1" x14ac:dyDescent="0.15">
      <c r="A24" s="53">
        <v>46129</v>
      </c>
      <c r="B24" s="27">
        <v>0</v>
      </c>
      <c r="C24" s="28">
        <v>145000</v>
      </c>
      <c r="D24" s="29">
        <f>B24/C24</f>
        <v>0</v>
      </c>
      <c r="E24" s="30">
        <v>0</v>
      </c>
      <c r="F24" s="31">
        <v>0</v>
      </c>
      <c r="G24" s="32">
        <f t="shared" si="40"/>
        <v>0</v>
      </c>
      <c r="H24" s="33">
        <v>0</v>
      </c>
      <c r="I24" s="34">
        <v>0</v>
      </c>
      <c r="J24" s="35">
        <v>0</v>
      </c>
      <c r="K24" s="36">
        <v>0</v>
      </c>
      <c r="L24" s="37">
        <v>0</v>
      </c>
      <c r="M24" s="38">
        <v>0</v>
      </c>
      <c r="N24" s="38">
        <v>0</v>
      </c>
      <c r="O24" s="39">
        <f t="shared" si="41"/>
        <v>0</v>
      </c>
      <c r="P24" s="40">
        <v>4200</v>
      </c>
      <c r="Q24" s="28">
        <v>70000</v>
      </c>
      <c r="R24" s="29">
        <f>P24/Q24</f>
        <v>0.06</v>
      </c>
      <c r="S24" s="30">
        <v>106853</v>
      </c>
      <c r="T24" s="31">
        <v>0</v>
      </c>
      <c r="U24" s="32">
        <f t="shared" si="42"/>
        <v>111053</v>
      </c>
      <c r="V24" s="33">
        <v>0</v>
      </c>
      <c r="W24" s="34">
        <v>0</v>
      </c>
      <c r="X24" s="35">
        <v>3306</v>
      </c>
      <c r="Y24" s="36">
        <v>0</v>
      </c>
      <c r="Z24" s="37">
        <v>0</v>
      </c>
      <c r="AA24" s="38">
        <v>4200</v>
      </c>
      <c r="AB24" s="38">
        <v>0</v>
      </c>
      <c r="AC24" s="39">
        <f t="shared" si="43"/>
        <v>4200</v>
      </c>
      <c r="AD24" s="45">
        <v>71707</v>
      </c>
      <c r="AE24" s="28">
        <v>200000</v>
      </c>
      <c r="AF24" s="41">
        <f>AD24/AE24</f>
        <v>0.35853499999999999</v>
      </c>
      <c r="AG24" s="32">
        <f t="shared" si="44"/>
        <v>71707</v>
      </c>
      <c r="AH24" s="35">
        <v>0</v>
      </c>
      <c r="AI24" s="43">
        <v>0</v>
      </c>
      <c r="AJ24" s="35">
        <v>130695</v>
      </c>
      <c r="AK24" s="43">
        <v>0</v>
      </c>
      <c r="AL24" s="44">
        <v>0</v>
      </c>
      <c r="AM24" s="38">
        <v>71707</v>
      </c>
      <c r="AN24" s="38">
        <v>0</v>
      </c>
      <c r="AO24" s="39">
        <f t="shared" si="45"/>
        <v>71707</v>
      </c>
      <c r="AP24" s="40">
        <f t="shared" si="46"/>
        <v>75907</v>
      </c>
      <c r="AQ24" s="28">
        <v>415000</v>
      </c>
      <c r="AR24" s="41">
        <f>AP24/AQ24</f>
        <v>0.18290843373493976</v>
      </c>
      <c r="AS24" s="30">
        <f t="shared" si="47"/>
        <v>106853</v>
      </c>
      <c r="AT24" s="30">
        <f t="shared" si="48"/>
        <v>0</v>
      </c>
      <c r="AU24" s="42">
        <f t="shared" si="49"/>
        <v>182760</v>
      </c>
      <c r="AV24" s="33">
        <f t="shared" si="50"/>
        <v>0</v>
      </c>
      <c r="AW24" s="46">
        <f t="shared" si="51"/>
        <v>0</v>
      </c>
      <c r="AX24" s="33">
        <f t="shared" si="52"/>
        <v>134001</v>
      </c>
      <c r="AY24" s="46">
        <f t="shared" si="53"/>
        <v>0</v>
      </c>
      <c r="AZ24" s="48">
        <f t="shared" si="54"/>
        <v>0</v>
      </c>
      <c r="BA24" s="49">
        <f t="shared" si="55"/>
        <v>75907</v>
      </c>
      <c r="BB24" s="49">
        <f t="shared" si="56"/>
        <v>0</v>
      </c>
      <c r="BC24" s="50">
        <f t="shared" si="57"/>
        <v>75907</v>
      </c>
      <c r="BD24" s="51"/>
    </row>
    <row r="25" spans="1:56" s="52" customFormat="1" ht="21.75" customHeight="1" x14ac:dyDescent="0.15">
      <c r="A25" s="26">
        <v>46130</v>
      </c>
      <c r="B25" s="27">
        <v>0</v>
      </c>
      <c r="C25" s="28">
        <v>0</v>
      </c>
      <c r="D25" s="29">
        <v>0</v>
      </c>
      <c r="E25" s="30">
        <v>0</v>
      </c>
      <c r="F25" s="31">
        <v>0</v>
      </c>
      <c r="G25" s="32">
        <f t="shared" ref="G25:G31" si="58">B25+E25+F25</f>
        <v>0</v>
      </c>
      <c r="H25" s="33">
        <v>0</v>
      </c>
      <c r="I25" s="34">
        <v>0</v>
      </c>
      <c r="J25" s="35">
        <v>0</v>
      </c>
      <c r="K25" s="36">
        <v>0</v>
      </c>
      <c r="L25" s="37">
        <v>0</v>
      </c>
      <c r="M25" s="38">
        <v>0</v>
      </c>
      <c r="N25" s="38">
        <v>0</v>
      </c>
      <c r="O25" s="39">
        <f t="shared" ref="O25:O31" si="59">SUM(L25:N25)</f>
        <v>0</v>
      </c>
      <c r="P25" s="40">
        <v>0</v>
      </c>
      <c r="Q25" s="28">
        <v>0</v>
      </c>
      <c r="R25" s="29">
        <v>0</v>
      </c>
      <c r="S25" s="30">
        <v>0</v>
      </c>
      <c r="T25" s="31">
        <v>0</v>
      </c>
      <c r="U25" s="32">
        <f t="shared" ref="U25:U31" si="60">P25+S25+T25</f>
        <v>0</v>
      </c>
      <c r="V25" s="33">
        <v>0</v>
      </c>
      <c r="W25" s="34">
        <v>0</v>
      </c>
      <c r="X25" s="35">
        <v>0</v>
      </c>
      <c r="Y25" s="36">
        <v>0</v>
      </c>
      <c r="Z25" s="37">
        <v>0</v>
      </c>
      <c r="AA25" s="38">
        <v>0</v>
      </c>
      <c r="AB25" s="38">
        <v>0</v>
      </c>
      <c r="AC25" s="39">
        <f t="shared" ref="AC25:AC31" si="61">SUM(Z25:AB25)</f>
        <v>0</v>
      </c>
      <c r="AD25" s="45">
        <v>0</v>
      </c>
      <c r="AE25" s="28">
        <v>0</v>
      </c>
      <c r="AF25" s="41">
        <v>0</v>
      </c>
      <c r="AG25" s="32">
        <f t="shared" ref="AG25:AG31" si="62">AD25</f>
        <v>0</v>
      </c>
      <c r="AH25" s="35">
        <v>0</v>
      </c>
      <c r="AI25" s="43">
        <v>0</v>
      </c>
      <c r="AJ25" s="35">
        <v>0</v>
      </c>
      <c r="AK25" s="43">
        <v>0</v>
      </c>
      <c r="AL25" s="44">
        <v>0</v>
      </c>
      <c r="AM25" s="38">
        <v>0</v>
      </c>
      <c r="AN25" s="38">
        <v>0</v>
      </c>
      <c r="AO25" s="39">
        <f t="shared" ref="AO25:AO31" si="63">SUM(AL25:AN25)</f>
        <v>0</v>
      </c>
      <c r="AP25" s="40">
        <f t="shared" ref="AP25:AP31" si="64">AD25+P25+B25</f>
        <v>0</v>
      </c>
      <c r="AQ25" s="28">
        <v>0</v>
      </c>
      <c r="AR25" s="41">
        <v>0</v>
      </c>
      <c r="AS25" s="30">
        <f t="shared" ref="AS25:AS31" si="65">E25+S25</f>
        <v>0</v>
      </c>
      <c r="AT25" s="30">
        <f t="shared" ref="AT25:AT31" si="66">F25+T25</f>
        <v>0</v>
      </c>
      <c r="AU25" s="42">
        <f t="shared" ref="AU25:AU31" si="67">AP25+AS25+AT25</f>
        <v>0</v>
      </c>
      <c r="AV25" s="33">
        <f t="shared" ref="AV25:AV31" si="68">SUM(H25,V25,AH25)</f>
        <v>0</v>
      </c>
      <c r="AW25" s="46">
        <f t="shared" ref="AW25:AW31" si="69">SUM(I25,W25,AI25)</f>
        <v>0</v>
      </c>
      <c r="AX25" s="33">
        <f t="shared" ref="AX25:AX31" si="70">SUM(J25,X25,AJ25)</f>
        <v>0</v>
      </c>
      <c r="AY25" s="46">
        <f t="shared" ref="AY25:AY31" si="71">SUM(K25,Y25,AK25)</f>
        <v>0</v>
      </c>
      <c r="AZ25" s="48">
        <f t="shared" ref="AZ25:AZ31" si="72">L25+Z25+AL25</f>
        <v>0</v>
      </c>
      <c r="BA25" s="49">
        <f t="shared" ref="BA25:BA31" si="73">M25+AA25+AM25</f>
        <v>0</v>
      </c>
      <c r="BB25" s="49">
        <f t="shared" ref="BB25:BB31" si="74">N25+AB25+AN25</f>
        <v>0</v>
      </c>
      <c r="BC25" s="50">
        <f t="shared" ref="BC25:BC31" si="75">SUM(AZ25:BB25)</f>
        <v>0</v>
      </c>
      <c r="BD25" s="51"/>
    </row>
    <row r="26" spans="1:56" s="52" customFormat="1" ht="21.75" customHeight="1" x14ac:dyDescent="0.15">
      <c r="A26" s="26">
        <v>46131</v>
      </c>
      <c r="B26" s="27">
        <v>0</v>
      </c>
      <c r="C26" s="28">
        <v>0</v>
      </c>
      <c r="D26" s="29">
        <v>0</v>
      </c>
      <c r="E26" s="30">
        <v>0</v>
      </c>
      <c r="F26" s="31">
        <v>0</v>
      </c>
      <c r="G26" s="32">
        <f t="shared" si="58"/>
        <v>0</v>
      </c>
      <c r="H26" s="33">
        <v>0</v>
      </c>
      <c r="I26" s="34">
        <v>0</v>
      </c>
      <c r="J26" s="35">
        <v>0</v>
      </c>
      <c r="K26" s="36">
        <v>0</v>
      </c>
      <c r="L26" s="37">
        <v>0</v>
      </c>
      <c r="M26" s="38">
        <v>0</v>
      </c>
      <c r="N26" s="38">
        <v>0</v>
      </c>
      <c r="O26" s="39">
        <f t="shared" si="59"/>
        <v>0</v>
      </c>
      <c r="P26" s="40">
        <v>0</v>
      </c>
      <c r="Q26" s="28">
        <v>0</v>
      </c>
      <c r="R26" s="29">
        <v>0</v>
      </c>
      <c r="S26" s="30">
        <v>0</v>
      </c>
      <c r="T26" s="31">
        <v>0</v>
      </c>
      <c r="U26" s="32">
        <f t="shared" si="60"/>
        <v>0</v>
      </c>
      <c r="V26" s="33">
        <v>0</v>
      </c>
      <c r="W26" s="34">
        <v>0</v>
      </c>
      <c r="X26" s="35">
        <v>0</v>
      </c>
      <c r="Y26" s="36">
        <v>0</v>
      </c>
      <c r="Z26" s="37">
        <v>0</v>
      </c>
      <c r="AA26" s="38">
        <v>0</v>
      </c>
      <c r="AB26" s="38">
        <v>0</v>
      </c>
      <c r="AC26" s="39">
        <f t="shared" si="61"/>
        <v>0</v>
      </c>
      <c r="AD26" s="45">
        <v>0</v>
      </c>
      <c r="AE26" s="28">
        <v>0</v>
      </c>
      <c r="AF26" s="41">
        <v>0</v>
      </c>
      <c r="AG26" s="32">
        <f t="shared" si="62"/>
        <v>0</v>
      </c>
      <c r="AH26" s="35">
        <v>0</v>
      </c>
      <c r="AI26" s="43">
        <v>0</v>
      </c>
      <c r="AJ26" s="35">
        <v>0</v>
      </c>
      <c r="AK26" s="43">
        <v>0</v>
      </c>
      <c r="AL26" s="44">
        <v>0</v>
      </c>
      <c r="AM26" s="38">
        <v>0</v>
      </c>
      <c r="AN26" s="38">
        <v>0</v>
      </c>
      <c r="AO26" s="39">
        <f t="shared" si="63"/>
        <v>0</v>
      </c>
      <c r="AP26" s="40">
        <f t="shared" si="64"/>
        <v>0</v>
      </c>
      <c r="AQ26" s="28">
        <v>0</v>
      </c>
      <c r="AR26" s="41">
        <v>0</v>
      </c>
      <c r="AS26" s="30">
        <f t="shared" si="65"/>
        <v>0</v>
      </c>
      <c r="AT26" s="30">
        <f t="shared" si="66"/>
        <v>0</v>
      </c>
      <c r="AU26" s="42">
        <f t="shared" si="67"/>
        <v>0</v>
      </c>
      <c r="AV26" s="33">
        <f t="shared" si="68"/>
        <v>0</v>
      </c>
      <c r="AW26" s="46">
        <f t="shared" si="69"/>
        <v>0</v>
      </c>
      <c r="AX26" s="33">
        <f t="shared" si="70"/>
        <v>0</v>
      </c>
      <c r="AY26" s="46">
        <f t="shared" si="71"/>
        <v>0</v>
      </c>
      <c r="AZ26" s="48">
        <f t="shared" si="72"/>
        <v>0</v>
      </c>
      <c r="BA26" s="49">
        <f t="shared" si="73"/>
        <v>0</v>
      </c>
      <c r="BB26" s="49">
        <f t="shared" si="74"/>
        <v>0</v>
      </c>
      <c r="BC26" s="50">
        <f t="shared" si="75"/>
        <v>0</v>
      </c>
      <c r="BD26" s="51"/>
    </row>
    <row r="27" spans="1:56" s="52" customFormat="1" ht="21.75" customHeight="1" x14ac:dyDescent="0.15">
      <c r="A27" s="53">
        <v>46132</v>
      </c>
      <c r="B27" s="27">
        <v>55066</v>
      </c>
      <c r="C27" s="28">
        <v>145000</v>
      </c>
      <c r="D27" s="29">
        <f>B27/C27</f>
        <v>0.3797655172413793</v>
      </c>
      <c r="E27" s="30">
        <v>104950</v>
      </c>
      <c r="F27" s="31">
        <v>779301</v>
      </c>
      <c r="G27" s="32">
        <f t="shared" si="58"/>
        <v>939317</v>
      </c>
      <c r="H27" s="33">
        <v>0</v>
      </c>
      <c r="I27" s="34">
        <v>0</v>
      </c>
      <c r="J27" s="35">
        <v>0</v>
      </c>
      <c r="K27" s="36">
        <v>0</v>
      </c>
      <c r="L27" s="37">
        <v>55066</v>
      </c>
      <c r="M27" s="38">
        <v>0</v>
      </c>
      <c r="N27" s="38">
        <v>0</v>
      </c>
      <c r="O27" s="39">
        <f t="shared" si="59"/>
        <v>55066</v>
      </c>
      <c r="P27" s="40">
        <v>78367</v>
      </c>
      <c r="Q27" s="28">
        <v>70000</v>
      </c>
      <c r="R27" s="29">
        <f>P27/Q27</f>
        <v>1.1195285714285714</v>
      </c>
      <c r="S27" s="30">
        <v>0</v>
      </c>
      <c r="T27" s="31">
        <v>127550</v>
      </c>
      <c r="U27" s="32">
        <f t="shared" si="60"/>
        <v>205917</v>
      </c>
      <c r="V27" s="33">
        <v>0</v>
      </c>
      <c r="W27" s="34">
        <v>0</v>
      </c>
      <c r="X27" s="35">
        <v>0</v>
      </c>
      <c r="Y27" s="36">
        <v>0</v>
      </c>
      <c r="Z27" s="37">
        <v>78367</v>
      </c>
      <c r="AA27" s="38">
        <v>0</v>
      </c>
      <c r="AB27" s="38">
        <v>0</v>
      </c>
      <c r="AC27" s="39">
        <f t="shared" si="61"/>
        <v>78367</v>
      </c>
      <c r="AD27" s="45">
        <v>68749</v>
      </c>
      <c r="AE27" s="28">
        <v>200000</v>
      </c>
      <c r="AF27" s="41">
        <f>AD27/AE27</f>
        <v>0.34374500000000002</v>
      </c>
      <c r="AG27" s="32">
        <f t="shared" si="62"/>
        <v>68749</v>
      </c>
      <c r="AH27" s="35">
        <v>0</v>
      </c>
      <c r="AI27" s="43">
        <v>0</v>
      </c>
      <c r="AJ27" s="35">
        <v>0</v>
      </c>
      <c r="AK27" s="43">
        <v>0</v>
      </c>
      <c r="AL27" s="44">
        <v>42592</v>
      </c>
      <c r="AM27" s="38">
        <v>26157</v>
      </c>
      <c r="AN27" s="38">
        <v>0</v>
      </c>
      <c r="AO27" s="39">
        <f t="shared" si="63"/>
        <v>68749</v>
      </c>
      <c r="AP27" s="40">
        <f t="shared" si="64"/>
        <v>202182</v>
      </c>
      <c r="AQ27" s="28">
        <v>415000</v>
      </c>
      <c r="AR27" s="41">
        <f>AP27/AQ27</f>
        <v>0.48718554216867471</v>
      </c>
      <c r="AS27" s="30">
        <f t="shared" si="65"/>
        <v>104950</v>
      </c>
      <c r="AT27" s="30">
        <f t="shared" si="66"/>
        <v>906851</v>
      </c>
      <c r="AU27" s="42">
        <f t="shared" si="67"/>
        <v>1213983</v>
      </c>
      <c r="AV27" s="33">
        <f t="shared" si="68"/>
        <v>0</v>
      </c>
      <c r="AW27" s="46">
        <f t="shared" si="69"/>
        <v>0</v>
      </c>
      <c r="AX27" s="33">
        <f t="shared" si="70"/>
        <v>0</v>
      </c>
      <c r="AY27" s="47">
        <f t="shared" si="71"/>
        <v>0</v>
      </c>
      <c r="AZ27" s="48">
        <f t="shared" si="72"/>
        <v>176025</v>
      </c>
      <c r="BA27" s="49">
        <f t="shared" si="73"/>
        <v>26157</v>
      </c>
      <c r="BB27" s="49">
        <f t="shared" si="74"/>
        <v>0</v>
      </c>
      <c r="BC27" s="50">
        <f t="shared" si="75"/>
        <v>202182</v>
      </c>
      <c r="BD27" s="51"/>
    </row>
    <row r="28" spans="1:56" s="52" customFormat="1" ht="21.75" customHeight="1" x14ac:dyDescent="0.15">
      <c r="A28" s="53">
        <v>46133</v>
      </c>
      <c r="B28" s="27">
        <v>165933</v>
      </c>
      <c r="C28" s="28">
        <v>145000</v>
      </c>
      <c r="D28" s="29">
        <f>B28/C28</f>
        <v>1.1443655172413794</v>
      </c>
      <c r="E28" s="30">
        <v>139635</v>
      </c>
      <c r="F28" s="31">
        <v>101200</v>
      </c>
      <c r="G28" s="32">
        <f t="shared" si="58"/>
        <v>406768</v>
      </c>
      <c r="H28" s="33">
        <v>0</v>
      </c>
      <c r="I28" s="34">
        <v>0</v>
      </c>
      <c r="J28" s="35">
        <v>0</v>
      </c>
      <c r="K28" s="36">
        <v>0</v>
      </c>
      <c r="L28" s="37">
        <v>33803</v>
      </c>
      <c r="M28" s="38">
        <v>132130</v>
      </c>
      <c r="N28" s="38">
        <v>0</v>
      </c>
      <c r="O28" s="39">
        <f t="shared" si="59"/>
        <v>165933</v>
      </c>
      <c r="P28" s="40">
        <v>111374</v>
      </c>
      <c r="Q28" s="28">
        <v>70000</v>
      </c>
      <c r="R28" s="29">
        <f>P28/Q28</f>
        <v>1.5910571428571429</v>
      </c>
      <c r="S28" s="30">
        <v>0</v>
      </c>
      <c r="T28" s="31">
        <v>0</v>
      </c>
      <c r="U28" s="32">
        <f t="shared" si="60"/>
        <v>111374</v>
      </c>
      <c r="V28" s="33">
        <v>0</v>
      </c>
      <c r="W28" s="34">
        <v>0</v>
      </c>
      <c r="X28" s="35">
        <v>4744</v>
      </c>
      <c r="Y28" s="36">
        <v>0</v>
      </c>
      <c r="Z28" s="37">
        <v>111374</v>
      </c>
      <c r="AA28" s="38">
        <v>0</v>
      </c>
      <c r="AB28" s="38">
        <v>0</v>
      </c>
      <c r="AC28" s="39">
        <f t="shared" si="61"/>
        <v>111374</v>
      </c>
      <c r="AD28" s="45">
        <v>109705</v>
      </c>
      <c r="AE28" s="28">
        <v>200000</v>
      </c>
      <c r="AF28" s="41">
        <f>AD28/AE28</f>
        <v>0.54852500000000004</v>
      </c>
      <c r="AG28" s="32">
        <f t="shared" si="62"/>
        <v>109705</v>
      </c>
      <c r="AH28" s="35">
        <v>0</v>
      </c>
      <c r="AI28" s="43">
        <v>0</v>
      </c>
      <c r="AJ28" s="35">
        <v>69398</v>
      </c>
      <c r="AK28" s="43">
        <v>0</v>
      </c>
      <c r="AL28" s="44">
        <v>76338</v>
      </c>
      <c r="AM28" s="38">
        <v>33367</v>
      </c>
      <c r="AN28" s="38">
        <v>0</v>
      </c>
      <c r="AO28" s="39">
        <f t="shared" si="63"/>
        <v>109705</v>
      </c>
      <c r="AP28" s="40">
        <f t="shared" si="64"/>
        <v>387012</v>
      </c>
      <c r="AQ28" s="28">
        <v>415000</v>
      </c>
      <c r="AR28" s="41">
        <f>AP28/AQ28</f>
        <v>0.93255903614457836</v>
      </c>
      <c r="AS28" s="30">
        <f t="shared" si="65"/>
        <v>139635</v>
      </c>
      <c r="AT28" s="30">
        <f t="shared" si="66"/>
        <v>101200</v>
      </c>
      <c r="AU28" s="42">
        <f t="shared" si="67"/>
        <v>627847</v>
      </c>
      <c r="AV28" s="33">
        <f t="shared" si="68"/>
        <v>0</v>
      </c>
      <c r="AW28" s="46">
        <f t="shared" si="69"/>
        <v>0</v>
      </c>
      <c r="AX28" s="33">
        <f t="shared" si="70"/>
        <v>74142</v>
      </c>
      <c r="AY28" s="46">
        <f t="shared" si="71"/>
        <v>0</v>
      </c>
      <c r="AZ28" s="48">
        <f t="shared" si="72"/>
        <v>221515</v>
      </c>
      <c r="BA28" s="49">
        <f t="shared" si="73"/>
        <v>165497</v>
      </c>
      <c r="BB28" s="49">
        <f t="shared" si="74"/>
        <v>0</v>
      </c>
      <c r="BC28" s="50">
        <f t="shared" si="75"/>
        <v>387012</v>
      </c>
      <c r="BD28" s="51"/>
    </row>
    <row r="29" spans="1:56" s="52" customFormat="1" ht="21.75" customHeight="1" x14ac:dyDescent="0.15">
      <c r="A29" s="53">
        <v>46134</v>
      </c>
      <c r="B29" s="27">
        <v>213110</v>
      </c>
      <c r="C29" s="28">
        <v>145000</v>
      </c>
      <c r="D29" s="29">
        <f>B29/C29</f>
        <v>1.4697241379310344</v>
      </c>
      <c r="E29" s="30">
        <v>152676</v>
      </c>
      <c r="F29" s="31">
        <v>0</v>
      </c>
      <c r="G29" s="32">
        <f t="shared" si="58"/>
        <v>365786</v>
      </c>
      <c r="H29" s="33">
        <v>0</v>
      </c>
      <c r="I29" s="34">
        <v>0</v>
      </c>
      <c r="J29" s="35">
        <v>0</v>
      </c>
      <c r="K29" s="36">
        <v>0</v>
      </c>
      <c r="L29" s="37">
        <v>213110</v>
      </c>
      <c r="M29" s="38">
        <v>0</v>
      </c>
      <c r="N29" s="38">
        <v>0</v>
      </c>
      <c r="O29" s="39">
        <f t="shared" si="59"/>
        <v>213110</v>
      </c>
      <c r="P29" s="40">
        <v>162947</v>
      </c>
      <c r="Q29" s="28">
        <v>70000</v>
      </c>
      <c r="R29" s="29">
        <f>P29/Q29</f>
        <v>2.3278142857142856</v>
      </c>
      <c r="S29" s="30">
        <v>27152</v>
      </c>
      <c r="T29" s="31">
        <v>0</v>
      </c>
      <c r="U29" s="32">
        <f t="shared" si="60"/>
        <v>190099</v>
      </c>
      <c r="V29" s="33">
        <v>0</v>
      </c>
      <c r="W29" s="34">
        <v>0</v>
      </c>
      <c r="X29" s="35">
        <v>0</v>
      </c>
      <c r="Y29" s="36">
        <v>0</v>
      </c>
      <c r="Z29" s="37">
        <v>0</v>
      </c>
      <c r="AA29" s="38">
        <v>162947</v>
      </c>
      <c r="AB29" s="38">
        <v>0</v>
      </c>
      <c r="AC29" s="39">
        <f t="shared" si="61"/>
        <v>162947</v>
      </c>
      <c r="AD29" s="45">
        <v>114507</v>
      </c>
      <c r="AE29" s="28">
        <v>200000</v>
      </c>
      <c r="AF29" s="41">
        <f>AD29/AE29</f>
        <v>0.57253500000000002</v>
      </c>
      <c r="AG29" s="32">
        <f t="shared" si="62"/>
        <v>114507</v>
      </c>
      <c r="AH29" s="35">
        <v>0</v>
      </c>
      <c r="AI29" s="43">
        <v>0</v>
      </c>
      <c r="AJ29" s="35">
        <v>38873</v>
      </c>
      <c r="AK29" s="43">
        <v>0</v>
      </c>
      <c r="AL29" s="44">
        <v>114507</v>
      </c>
      <c r="AM29" s="38">
        <v>0</v>
      </c>
      <c r="AN29" s="38">
        <v>0</v>
      </c>
      <c r="AO29" s="39">
        <f t="shared" si="63"/>
        <v>114507</v>
      </c>
      <c r="AP29" s="40">
        <f t="shared" si="64"/>
        <v>490564</v>
      </c>
      <c r="AQ29" s="28">
        <v>415000</v>
      </c>
      <c r="AR29" s="41">
        <f>AP29/AQ29</f>
        <v>1.1820819277108434</v>
      </c>
      <c r="AS29" s="30">
        <f t="shared" si="65"/>
        <v>179828</v>
      </c>
      <c r="AT29" s="30">
        <f t="shared" si="66"/>
        <v>0</v>
      </c>
      <c r="AU29" s="42">
        <f t="shared" si="67"/>
        <v>670392</v>
      </c>
      <c r="AV29" s="33">
        <f t="shared" si="68"/>
        <v>0</v>
      </c>
      <c r="AW29" s="46">
        <f t="shared" si="69"/>
        <v>0</v>
      </c>
      <c r="AX29" s="33">
        <f t="shared" si="70"/>
        <v>38873</v>
      </c>
      <c r="AY29" s="46">
        <f t="shared" si="71"/>
        <v>0</v>
      </c>
      <c r="AZ29" s="48">
        <f t="shared" si="72"/>
        <v>327617</v>
      </c>
      <c r="BA29" s="49">
        <f t="shared" si="73"/>
        <v>162947</v>
      </c>
      <c r="BB29" s="49">
        <f t="shared" si="74"/>
        <v>0</v>
      </c>
      <c r="BC29" s="50">
        <f t="shared" si="75"/>
        <v>490564</v>
      </c>
      <c r="BD29" s="51"/>
    </row>
    <row r="30" spans="1:56" s="52" customFormat="1" ht="21.75" customHeight="1" x14ac:dyDescent="0.15">
      <c r="A30" s="53">
        <v>46135</v>
      </c>
      <c r="B30" s="27">
        <v>96694</v>
      </c>
      <c r="C30" s="28">
        <v>145000</v>
      </c>
      <c r="D30" s="29">
        <f>B30/C30</f>
        <v>0.66685517241379311</v>
      </c>
      <c r="E30" s="30">
        <v>38169</v>
      </c>
      <c r="F30" s="31">
        <v>202400</v>
      </c>
      <c r="G30" s="32">
        <f t="shared" si="58"/>
        <v>337263</v>
      </c>
      <c r="H30" s="33">
        <v>0</v>
      </c>
      <c r="I30" s="34">
        <v>0</v>
      </c>
      <c r="J30" s="35">
        <v>0</v>
      </c>
      <c r="K30" s="36">
        <v>0</v>
      </c>
      <c r="L30" s="37">
        <v>96694</v>
      </c>
      <c r="M30" s="38">
        <v>0</v>
      </c>
      <c r="N30" s="38">
        <v>0</v>
      </c>
      <c r="O30" s="39">
        <f t="shared" si="59"/>
        <v>96694</v>
      </c>
      <c r="P30" s="40">
        <v>106143</v>
      </c>
      <c r="Q30" s="28">
        <v>70000</v>
      </c>
      <c r="R30" s="29">
        <f>P30/Q30</f>
        <v>1.5163285714285715</v>
      </c>
      <c r="S30" s="30">
        <v>19158</v>
      </c>
      <c r="T30" s="31">
        <v>19100</v>
      </c>
      <c r="U30" s="32">
        <f t="shared" si="60"/>
        <v>144401</v>
      </c>
      <c r="V30" s="33">
        <v>0</v>
      </c>
      <c r="W30" s="34">
        <v>0</v>
      </c>
      <c r="X30" s="35">
        <v>0</v>
      </c>
      <c r="Y30" s="36">
        <v>0</v>
      </c>
      <c r="Z30" s="37">
        <v>49252</v>
      </c>
      <c r="AA30" s="38">
        <v>56891</v>
      </c>
      <c r="AB30" s="38">
        <v>0</v>
      </c>
      <c r="AC30" s="39">
        <f t="shared" si="61"/>
        <v>106143</v>
      </c>
      <c r="AD30" s="45">
        <v>206514</v>
      </c>
      <c r="AE30" s="28">
        <v>200000</v>
      </c>
      <c r="AF30" s="41">
        <f>AD30/AE30</f>
        <v>1.03257</v>
      </c>
      <c r="AG30" s="32">
        <f t="shared" si="62"/>
        <v>206514</v>
      </c>
      <c r="AH30" s="35">
        <v>0</v>
      </c>
      <c r="AI30" s="43">
        <v>0</v>
      </c>
      <c r="AJ30" s="35">
        <v>6314</v>
      </c>
      <c r="AK30" s="43">
        <v>0</v>
      </c>
      <c r="AL30" s="44">
        <v>176530</v>
      </c>
      <c r="AM30" s="38">
        <v>19158</v>
      </c>
      <c r="AN30" s="38">
        <v>10826</v>
      </c>
      <c r="AO30" s="39">
        <f t="shared" si="63"/>
        <v>206514</v>
      </c>
      <c r="AP30" s="40">
        <f t="shared" si="64"/>
        <v>409351</v>
      </c>
      <c r="AQ30" s="28">
        <v>415000</v>
      </c>
      <c r="AR30" s="41">
        <f>AP30/AQ30</f>
        <v>0.98638795180722894</v>
      </c>
      <c r="AS30" s="30">
        <f t="shared" si="65"/>
        <v>57327</v>
      </c>
      <c r="AT30" s="30">
        <f t="shared" si="66"/>
        <v>221500</v>
      </c>
      <c r="AU30" s="42">
        <f t="shared" si="67"/>
        <v>688178</v>
      </c>
      <c r="AV30" s="33">
        <f t="shared" si="68"/>
        <v>0</v>
      </c>
      <c r="AW30" s="46">
        <f t="shared" si="69"/>
        <v>0</v>
      </c>
      <c r="AX30" s="33">
        <f t="shared" si="70"/>
        <v>6314</v>
      </c>
      <c r="AY30" s="47">
        <f t="shared" si="71"/>
        <v>0</v>
      </c>
      <c r="AZ30" s="48">
        <f t="shared" si="72"/>
        <v>322476</v>
      </c>
      <c r="BA30" s="49">
        <f t="shared" si="73"/>
        <v>76049</v>
      </c>
      <c r="BB30" s="49">
        <f t="shared" si="74"/>
        <v>10826</v>
      </c>
      <c r="BC30" s="50">
        <f t="shared" si="75"/>
        <v>409351</v>
      </c>
      <c r="BD30" s="51"/>
    </row>
    <row r="31" spans="1:56" s="52" customFormat="1" ht="21.75" customHeight="1" x14ac:dyDescent="0.15">
      <c r="A31" s="53">
        <v>46136</v>
      </c>
      <c r="B31" s="27">
        <v>107952</v>
      </c>
      <c r="C31" s="28">
        <v>145000</v>
      </c>
      <c r="D31" s="29">
        <f>B31/C31</f>
        <v>0.74449655172413798</v>
      </c>
      <c r="E31" s="30">
        <v>114507</v>
      </c>
      <c r="F31" s="31">
        <v>245775</v>
      </c>
      <c r="G31" s="32">
        <f t="shared" si="58"/>
        <v>468234</v>
      </c>
      <c r="H31" s="33">
        <v>0</v>
      </c>
      <c r="I31" s="34">
        <v>0</v>
      </c>
      <c r="J31" s="35">
        <v>75002</v>
      </c>
      <c r="K31" s="36">
        <v>0</v>
      </c>
      <c r="L31" s="37">
        <v>107952</v>
      </c>
      <c r="M31" s="38">
        <v>0</v>
      </c>
      <c r="N31" s="38">
        <v>0</v>
      </c>
      <c r="O31" s="39">
        <f t="shared" si="59"/>
        <v>107952</v>
      </c>
      <c r="P31" s="40">
        <v>70012</v>
      </c>
      <c r="Q31" s="28">
        <v>70000</v>
      </c>
      <c r="R31" s="29">
        <f>P31/Q31</f>
        <v>1.0001714285714285</v>
      </c>
      <c r="S31" s="30">
        <v>0</v>
      </c>
      <c r="T31" s="31">
        <v>0</v>
      </c>
      <c r="U31" s="32">
        <f t="shared" si="60"/>
        <v>70012</v>
      </c>
      <c r="V31" s="33">
        <v>0</v>
      </c>
      <c r="W31" s="34">
        <v>0</v>
      </c>
      <c r="X31" s="35">
        <v>0</v>
      </c>
      <c r="Y31" s="36">
        <v>0</v>
      </c>
      <c r="Z31" s="37">
        <v>70012</v>
      </c>
      <c r="AA31" s="38">
        <v>0</v>
      </c>
      <c r="AB31" s="38">
        <v>0</v>
      </c>
      <c r="AC31" s="39">
        <f t="shared" si="61"/>
        <v>70012</v>
      </c>
      <c r="AD31" s="45">
        <v>38169</v>
      </c>
      <c r="AE31" s="28">
        <v>200000</v>
      </c>
      <c r="AF31" s="41">
        <f>AD31/AE31</f>
        <v>0.19084499999999999</v>
      </c>
      <c r="AG31" s="32">
        <f t="shared" si="62"/>
        <v>38169</v>
      </c>
      <c r="AH31" s="35">
        <v>0</v>
      </c>
      <c r="AI31" s="43">
        <v>0</v>
      </c>
      <c r="AJ31" s="35">
        <v>73770</v>
      </c>
      <c r="AK31" s="43">
        <v>0</v>
      </c>
      <c r="AL31" s="44">
        <v>38169</v>
      </c>
      <c r="AM31" s="38">
        <v>0</v>
      </c>
      <c r="AN31" s="38">
        <v>0</v>
      </c>
      <c r="AO31" s="39">
        <f t="shared" si="63"/>
        <v>38169</v>
      </c>
      <c r="AP31" s="40">
        <f t="shared" si="64"/>
        <v>216133</v>
      </c>
      <c r="AQ31" s="28">
        <v>415000</v>
      </c>
      <c r="AR31" s="41">
        <f>AP31/AQ31</f>
        <v>0.52080240963855418</v>
      </c>
      <c r="AS31" s="30">
        <f t="shared" si="65"/>
        <v>114507</v>
      </c>
      <c r="AT31" s="30">
        <f t="shared" si="66"/>
        <v>245775</v>
      </c>
      <c r="AU31" s="42">
        <f t="shared" si="67"/>
        <v>576415</v>
      </c>
      <c r="AV31" s="33">
        <f t="shared" si="68"/>
        <v>0</v>
      </c>
      <c r="AW31" s="46">
        <f t="shared" si="69"/>
        <v>0</v>
      </c>
      <c r="AX31" s="33">
        <f t="shared" si="70"/>
        <v>148772</v>
      </c>
      <c r="AY31" s="46">
        <f t="shared" si="71"/>
        <v>0</v>
      </c>
      <c r="AZ31" s="48">
        <f t="shared" si="72"/>
        <v>216133</v>
      </c>
      <c r="BA31" s="49">
        <f t="shared" si="73"/>
        <v>0</v>
      </c>
      <c r="BB31" s="49">
        <f t="shared" si="74"/>
        <v>0</v>
      </c>
      <c r="BC31" s="50">
        <f t="shared" si="75"/>
        <v>216133</v>
      </c>
      <c r="BD31" s="51"/>
    </row>
    <row r="32" spans="1:56" s="52" customFormat="1" ht="21.75" customHeight="1" x14ac:dyDescent="0.15">
      <c r="A32" s="26">
        <v>46137</v>
      </c>
      <c r="B32" s="27">
        <v>0</v>
      </c>
      <c r="C32" s="28">
        <v>0</v>
      </c>
      <c r="D32" s="29">
        <v>0</v>
      </c>
      <c r="E32" s="30">
        <v>0</v>
      </c>
      <c r="F32" s="31">
        <v>0</v>
      </c>
      <c r="G32" s="32">
        <f t="shared" ref="G32:G37" si="76">B32+E32+F32</f>
        <v>0</v>
      </c>
      <c r="H32" s="33">
        <v>0</v>
      </c>
      <c r="I32" s="34">
        <v>0</v>
      </c>
      <c r="J32" s="35">
        <v>0</v>
      </c>
      <c r="K32" s="36">
        <v>0</v>
      </c>
      <c r="L32" s="37">
        <v>0</v>
      </c>
      <c r="M32" s="38">
        <v>0</v>
      </c>
      <c r="N32" s="38">
        <v>0</v>
      </c>
      <c r="O32" s="39">
        <f t="shared" ref="O32:O37" si="77">SUM(L32:N32)</f>
        <v>0</v>
      </c>
      <c r="P32" s="40">
        <v>0</v>
      </c>
      <c r="Q32" s="28">
        <v>0</v>
      </c>
      <c r="R32" s="29">
        <v>0</v>
      </c>
      <c r="S32" s="30">
        <v>0</v>
      </c>
      <c r="T32" s="31">
        <v>0</v>
      </c>
      <c r="U32" s="32">
        <f t="shared" ref="U32:U37" si="78">P32+S32+T32</f>
        <v>0</v>
      </c>
      <c r="V32" s="33">
        <v>0</v>
      </c>
      <c r="W32" s="34">
        <v>0</v>
      </c>
      <c r="X32" s="35">
        <v>0</v>
      </c>
      <c r="Y32" s="36">
        <v>0</v>
      </c>
      <c r="Z32" s="37">
        <v>0</v>
      </c>
      <c r="AA32" s="38">
        <v>0</v>
      </c>
      <c r="AB32" s="38">
        <v>0</v>
      </c>
      <c r="AC32" s="39">
        <f t="shared" ref="AC32:AC37" si="79">SUM(Z32:AB32)</f>
        <v>0</v>
      </c>
      <c r="AD32" s="45">
        <v>0</v>
      </c>
      <c r="AE32" s="28">
        <v>0</v>
      </c>
      <c r="AF32" s="41">
        <v>0</v>
      </c>
      <c r="AG32" s="32">
        <f t="shared" ref="AG32:AG37" si="80">AD32</f>
        <v>0</v>
      </c>
      <c r="AH32" s="35">
        <v>0</v>
      </c>
      <c r="AI32" s="43">
        <v>0</v>
      </c>
      <c r="AJ32" s="35">
        <v>0</v>
      </c>
      <c r="AK32" s="43">
        <v>0</v>
      </c>
      <c r="AL32" s="44">
        <v>0</v>
      </c>
      <c r="AM32" s="38">
        <v>0</v>
      </c>
      <c r="AN32" s="38">
        <v>0</v>
      </c>
      <c r="AO32" s="39">
        <f t="shared" ref="AO32:AO37" si="81">SUM(AL32:AN32)</f>
        <v>0</v>
      </c>
      <c r="AP32" s="40">
        <f t="shared" ref="AP32:AP37" si="82">AD32+P32+B32</f>
        <v>0</v>
      </c>
      <c r="AQ32" s="28">
        <v>0</v>
      </c>
      <c r="AR32" s="41">
        <v>0</v>
      </c>
      <c r="AS32" s="30">
        <f t="shared" ref="AS32:AS37" si="83">E32+S32</f>
        <v>0</v>
      </c>
      <c r="AT32" s="30">
        <f t="shared" ref="AT32:AT37" si="84">F32+T32</f>
        <v>0</v>
      </c>
      <c r="AU32" s="42">
        <f t="shared" ref="AU32:AU37" si="85">AP32+AS32+AT32</f>
        <v>0</v>
      </c>
      <c r="AV32" s="33">
        <f t="shared" ref="AV32:AV37" si="86">SUM(H32,V32,AH32)</f>
        <v>0</v>
      </c>
      <c r="AW32" s="46">
        <f t="shared" ref="AW32:AW37" si="87">SUM(I32,W32,AI32)</f>
        <v>0</v>
      </c>
      <c r="AX32" s="33">
        <f t="shared" ref="AX32:AX37" si="88">SUM(J32,X32,AJ32)</f>
        <v>0</v>
      </c>
      <c r="AY32" s="46">
        <f t="shared" ref="AY32:AY37" si="89">SUM(K32,Y32,AK32)</f>
        <v>0</v>
      </c>
      <c r="AZ32" s="48">
        <f t="shared" ref="AZ32:AZ37" si="90">L32+Z32+AL32</f>
        <v>0</v>
      </c>
      <c r="BA32" s="49">
        <f t="shared" ref="BA32:BA37" si="91">M32+AA32+AM32</f>
        <v>0</v>
      </c>
      <c r="BB32" s="49">
        <f t="shared" ref="BB32:BB37" si="92">N32+AB32+AN32</f>
        <v>0</v>
      </c>
      <c r="BC32" s="50">
        <f t="shared" ref="BC32:BC37" si="93">SUM(AZ32:BB32)</f>
        <v>0</v>
      </c>
      <c r="BD32" s="51"/>
    </row>
    <row r="33" spans="1:56" s="52" customFormat="1" ht="21.75" customHeight="1" x14ac:dyDescent="0.15">
      <c r="A33" s="26">
        <v>46138</v>
      </c>
      <c r="B33" s="27">
        <v>0</v>
      </c>
      <c r="C33" s="28">
        <v>0</v>
      </c>
      <c r="D33" s="29">
        <v>0</v>
      </c>
      <c r="E33" s="30">
        <v>0</v>
      </c>
      <c r="F33" s="31">
        <v>0</v>
      </c>
      <c r="G33" s="32">
        <f t="shared" si="76"/>
        <v>0</v>
      </c>
      <c r="H33" s="33">
        <v>0</v>
      </c>
      <c r="I33" s="34">
        <v>0</v>
      </c>
      <c r="J33" s="35">
        <v>0</v>
      </c>
      <c r="K33" s="36">
        <v>0</v>
      </c>
      <c r="L33" s="37">
        <v>0</v>
      </c>
      <c r="M33" s="38">
        <v>0</v>
      </c>
      <c r="N33" s="38">
        <v>0</v>
      </c>
      <c r="O33" s="39">
        <f t="shared" si="77"/>
        <v>0</v>
      </c>
      <c r="P33" s="40">
        <v>0</v>
      </c>
      <c r="Q33" s="28">
        <v>0</v>
      </c>
      <c r="R33" s="29">
        <v>0</v>
      </c>
      <c r="S33" s="30">
        <v>0</v>
      </c>
      <c r="T33" s="31">
        <v>0</v>
      </c>
      <c r="U33" s="32">
        <f t="shared" si="78"/>
        <v>0</v>
      </c>
      <c r="V33" s="33">
        <v>0</v>
      </c>
      <c r="W33" s="34">
        <v>0</v>
      </c>
      <c r="X33" s="35">
        <v>0</v>
      </c>
      <c r="Y33" s="36">
        <v>0</v>
      </c>
      <c r="Z33" s="37">
        <v>0</v>
      </c>
      <c r="AA33" s="38">
        <v>0</v>
      </c>
      <c r="AB33" s="38">
        <v>0</v>
      </c>
      <c r="AC33" s="39">
        <f t="shared" si="79"/>
        <v>0</v>
      </c>
      <c r="AD33" s="45">
        <v>0</v>
      </c>
      <c r="AE33" s="28">
        <v>0</v>
      </c>
      <c r="AF33" s="41">
        <v>0</v>
      </c>
      <c r="AG33" s="32">
        <f t="shared" si="80"/>
        <v>0</v>
      </c>
      <c r="AH33" s="35">
        <v>0</v>
      </c>
      <c r="AI33" s="43">
        <v>0</v>
      </c>
      <c r="AJ33" s="35">
        <v>0</v>
      </c>
      <c r="AK33" s="43">
        <v>0</v>
      </c>
      <c r="AL33" s="44">
        <v>0</v>
      </c>
      <c r="AM33" s="38">
        <v>0</v>
      </c>
      <c r="AN33" s="38">
        <v>0</v>
      </c>
      <c r="AO33" s="39">
        <f t="shared" si="81"/>
        <v>0</v>
      </c>
      <c r="AP33" s="40">
        <f t="shared" si="82"/>
        <v>0</v>
      </c>
      <c r="AQ33" s="28">
        <v>0</v>
      </c>
      <c r="AR33" s="41">
        <v>0</v>
      </c>
      <c r="AS33" s="30">
        <f t="shared" si="83"/>
        <v>0</v>
      </c>
      <c r="AT33" s="30">
        <f t="shared" si="84"/>
        <v>0</v>
      </c>
      <c r="AU33" s="42">
        <f t="shared" si="85"/>
        <v>0</v>
      </c>
      <c r="AV33" s="33">
        <f t="shared" si="86"/>
        <v>0</v>
      </c>
      <c r="AW33" s="46">
        <f t="shared" si="87"/>
        <v>0</v>
      </c>
      <c r="AX33" s="33">
        <f t="shared" si="88"/>
        <v>0</v>
      </c>
      <c r="AY33" s="46">
        <f t="shared" si="89"/>
        <v>0</v>
      </c>
      <c r="AZ33" s="48">
        <f t="shared" si="90"/>
        <v>0</v>
      </c>
      <c r="BA33" s="49">
        <f t="shared" si="91"/>
        <v>0</v>
      </c>
      <c r="BB33" s="49">
        <f t="shared" si="92"/>
        <v>0</v>
      </c>
      <c r="BC33" s="50">
        <f t="shared" si="93"/>
        <v>0</v>
      </c>
      <c r="BD33" s="51"/>
    </row>
    <row r="34" spans="1:56" s="52" customFormat="1" ht="21.75" customHeight="1" x14ac:dyDescent="0.15">
      <c r="A34" s="53">
        <v>46139</v>
      </c>
      <c r="B34" s="27">
        <v>59357</v>
      </c>
      <c r="C34" s="28">
        <v>145000</v>
      </c>
      <c r="D34" s="29">
        <f>B34/C34</f>
        <v>0.40935862068965517</v>
      </c>
      <c r="E34" s="30">
        <v>152676</v>
      </c>
      <c r="F34" s="31">
        <v>329214</v>
      </c>
      <c r="G34" s="32">
        <f t="shared" si="76"/>
        <v>541247</v>
      </c>
      <c r="H34" s="33">
        <v>0</v>
      </c>
      <c r="I34" s="34">
        <v>0</v>
      </c>
      <c r="J34" s="35">
        <v>0</v>
      </c>
      <c r="K34" s="36">
        <v>0</v>
      </c>
      <c r="L34" s="37">
        <v>59357</v>
      </c>
      <c r="M34" s="38">
        <v>0</v>
      </c>
      <c r="N34" s="38">
        <v>0</v>
      </c>
      <c r="O34" s="39">
        <f t="shared" si="77"/>
        <v>59357</v>
      </c>
      <c r="P34" s="40">
        <v>136308</v>
      </c>
      <c r="Q34" s="28">
        <v>70000</v>
      </c>
      <c r="R34" s="29">
        <f>P34/Q34</f>
        <v>1.9472571428571428</v>
      </c>
      <c r="S34" s="30">
        <v>0</v>
      </c>
      <c r="T34" s="31">
        <v>21350</v>
      </c>
      <c r="U34" s="32">
        <f t="shared" si="78"/>
        <v>157658</v>
      </c>
      <c r="V34" s="33">
        <v>0</v>
      </c>
      <c r="W34" s="34">
        <v>0</v>
      </c>
      <c r="X34" s="35">
        <v>0</v>
      </c>
      <c r="Y34" s="36">
        <v>0</v>
      </c>
      <c r="Z34" s="37">
        <v>68342</v>
      </c>
      <c r="AA34" s="38">
        <v>67966</v>
      </c>
      <c r="AB34" s="38">
        <v>0</v>
      </c>
      <c r="AC34" s="39">
        <f t="shared" si="79"/>
        <v>136308</v>
      </c>
      <c r="AD34" s="45">
        <v>139635</v>
      </c>
      <c r="AE34" s="28">
        <v>200000</v>
      </c>
      <c r="AF34" s="41">
        <f>AD34/AE34</f>
        <v>0.69817499999999999</v>
      </c>
      <c r="AG34" s="32">
        <f t="shared" si="80"/>
        <v>139635</v>
      </c>
      <c r="AH34" s="35">
        <v>0</v>
      </c>
      <c r="AI34" s="43">
        <v>0</v>
      </c>
      <c r="AJ34" s="35">
        <v>0</v>
      </c>
      <c r="AK34" s="43">
        <v>0</v>
      </c>
      <c r="AL34" s="44">
        <v>114507</v>
      </c>
      <c r="AM34" s="38">
        <v>0</v>
      </c>
      <c r="AN34" s="38">
        <v>25128</v>
      </c>
      <c r="AO34" s="39">
        <f t="shared" si="81"/>
        <v>139635</v>
      </c>
      <c r="AP34" s="40">
        <f t="shared" si="82"/>
        <v>335300</v>
      </c>
      <c r="AQ34" s="28">
        <v>415000</v>
      </c>
      <c r="AR34" s="41">
        <f>AP34/AQ34</f>
        <v>0.80795180722891569</v>
      </c>
      <c r="AS34" s="30">
        <f t="shared" si="83"/>
        <v>152676</v>
      </c>
      <c r="AT34" s="30">
        <f t="shared" si="84"/>
        <v>350564</v>
      </c>
      <c r="AU34" s="42">
        <f t="shared" si="85"/>
        <v>838540</v>
      </c>
      <c r="AV34" s="33">
        <f t="shared" si="86"/>
        <v>0</v>
      </c>
      <c r="AW34" s="46">
        <f t="shared" si="87"/>
        <v>0</v>
      </c>
      <c r="AX34" s="33">
        <f t="shared" si="88"/>
        <v>0</v>
      </c>
      <c r="AY34" s="46">
        <f t="shared" si="89"/>
        <v>0</v>
      </c>
      <c r="AZ34" s="48">
        <f t="shared" si="90"/>
        <v>242206</v>
      </c>
      <c r="BA34" s="49">
        <f t="shared" si="91"/>
        <v>67966</v>
      </c>
      <c r="BB34" s="49">
        <f t="shared" si="92"/>
        <v>25128</v>
      </c>
      <c r="BC34" s="50">
        <f t="shared" si="93"/>
        <v>335300</v>
      </c>
      <c r="BD34" s="51"/>
    </row>
    <row r="35" spans="1:56" s="52" customFormat="1" ht="21.75" customHeight="1" x14ac:dyDescent="0.15">
      <c r="A35" s="53">
        <v>46140</v>
      </c>
      <c r="B35" s="27">
        <v>163635</v>
      </c>
      <c r="C35" s="28">
        <v>145000</v>
      </c>
      <c r="D35" s="29">
        <f>B35/C35</f>
        <v>1.1285172413793103</v>
      </c>
      <c r="E35" s="30">
        <v>38169</v>
      </c>
      <c r="F35" s="31">
        <v>0</v>
      </c>
      <c r="G35" s="32">
        <f t="shared" si="76"/>
        <v>201804</v>
      </c>
      <c r="H35" s="33">
        <v>0</v>
      </c>
      <c r="I35" s="34">
        <v>0</v>
      </c>
      <c r="J35" s="35">
        <v>0</v>
      </c>
      <c r="K35" s="36">
        <v>0</v>
      </c>
      <c r="L35" s="37">
        <v>163635</v>
      </c>
      <c r="M35" s="38">
        <v>0</v>
      </c>
      <c r="N35" s="38">
        <v>0</v>
      </c>
      <c r="O35" s="39">
        <f t="shared" si="77"/>
        <v>163635</v>
      </c>
      <c r="P35" s="40">
        <v>136398</v>
      </c>
      <c r="Q35" s="28">
        <v>70000</v>
      </c>
      <c r="R35" s="29">
        <f>P35/Q35</f>
        <v>1.9485428571428571</v>
      </c>
      <c r="S35" s="30">
        <v>5811</v>
      </c>
      <c r="T35" s="31">
        <v>0</v>
      </c>
      <c r="U35" s="32">
        <f t="shared" si="78"/>
        <v>142209</v>
      </c>
      <c r="V35" s="33">
        <v>0</v>
      </c>
      <c r="W35" s="34">
        <v>0</v>
      </c>
      <c r="X35" s="35">
        <v>0</v>
      </c>
      <c r="Y35" s="36">
        <v>33124</v>
      </c>
      <c r="Z35" s="37">
        <v>136398</v>
      </c>
      <c r="AA35" s="38">
        <v>0</v>
      </c>
      <c r="AB35" s="38">
        <v>0</v>
      </c>
      <c r="AC35" s="39">
        <f t="shared" si="79"/>
        <v>136398</v>
      </c>
      <c r="AD35" s="45">
        <v>152676</v>
      </c>
      <c r="AE35" s="28">
        <v>200000</v>
      </c>
      <c r="AF35" s="41">
        <f>AD35/AE35</f>
        <v>0.76337999999999995</v>
      </c>
      <c r="AG35" s="32">
        <f t="shared" si="80"/>
        <v>152676</v>
      </c>
      <c r="AH35" s="35">
        <v>0</v>
      </c>
      <c r="AI35" s="43">
        <v>0</v>
      </c>
      <c r="AJ35" s="35">
        <v>0</v>
      </c>
      <c r="AK35" s="43">
        <v>0</v>
      </c>
      <c r="AL35" s="44">
        <v>152676</v>
      </c>
      <c r="AM35" s="38">
        <v>0</v>
      </c>
      <c r="AN35" s="38">
        <v>0</v>
      </c>
      <c r="AO35" s="39">
        <f t="shared" si="81"/>
        <v>152676</v>
      </c>
      <c r="AP35" s="40">
        <f t="shared" si="82"/>
        <v>452709</v>
      </c>
      <c r="AQ35" s="28">
        <v>415000</v>
      </c>
      <c r="AR35" s="41">
        <f>AP35/AQ35</f>
        <v>1.0908650602409637</v>
      </c>
      <c r="AS35" s="30">
        <f t="shared" si="83"/>
        <v>43980</v>
      </c>
      <c r="AT35" s="30">
        <f t="shared" si="84"/>
        <v>0</v>
      </c>
      <c r="AU35" s="42">
        <f t="shared" si="85"/>
        <v>496689</v>
      </c>
      <c r="AV35" s="33">
        <f t="shared" si="86"/>
        <v>0</v>
      </c>
      <c r="AW35" s="46">
        <f t="shared" si="87"/>
        <v>0</v>
      </c>
      <c r="AX35" s="33">
        <f t="shared" si="88"/>
        <v>0</v>
      </c>
      <c r="AY35" s="46">
        <f t="shared" si="89"/>
        <v>33124</v>
      </c>
      <c r="AZ35" s="48">
        <f t="shared" si="90"/>
        <v>452709</v>
      </c>
      <c r="BA35" s="49">
        <f t="shared" si="91"/>
        <v>0</v>
      </c>
      <c r="BB35" s="49">
        <f t="shared" si="92"/>
        <v>0</v>
      </c>
      <c r="BC35" s="50">
        <f t="shared" si="93"/>
        <v>452709</v>
      </c>
      <c r="BD35" s="51"/>
    </row>
    <row r="36" spans="1:56" s="52" customFormat="1" ht="21.75" customHeight="1" x14ac:dyDescent="0.15">
      <c r="A36" s="53">
        <v>46141</v>
      </c>
      <c r="B36" s="27">
        <v>317847</v>
      </c>
      <c r="C36" s="28">
        <v>145000</v>
      </c>
      <c r="D36" s="29">
        <f>B36/C36</f>
        <v>2.192048275862069</v>
      </c>
      <c r="E36" s="30">
        <v>76338</v>
      </c>
      <c r="F36" s="31">
        <v>80300</v>
      </c>
      <c r="G36" s="32">
        <f t="shared" si="76"/>
        <v>474485</v>
      </c>
      <c r="H36" s="33">
        <v>0</v>
      </c>
      <c r="I36" s="34">
        <v>0</v>
      </c>
      <c r="J36" s="35">
        <v>0</v>
      </c>
      <c r="K36" s="36">
        <v>0</v>
      </c>
      <c r="L36" s="37">
        <v>317847</v>
      </c>
      <c r="M36" s="38">
        <v>0</v>
      </c>
      <c r="N36" s="38">
        <v>0</v>
      </c>
      <c r="O36" s="39">
        <f t="shared" si="77"/>
        <v>317847</v>
      </c>
      <c r="P36" s="40">
        <v>168199</v>
      </c>
      <c r="Q36" s="28">
        <v>70000</v>
      </c>
      <c r="R36" s="29">
        <f>P36/Q36</f>
        <v>2.4028428571428573</v>
      </c>
      <c r="S36" s="30">
        <v>0</v>
      </c>
      <c r="T36" s="31">
        <v>0</v>
      </c>
      <c r="U36" s="32">
        <f t="shared" si="78"/>
        <v>168199</v>
      </c>
      <c r="V36" s="33">
        <v>0</v>
      </c>
      <c r="W36" s="34">
        <v>0</v>
      </c>
      <c r="X36" s="35">
        <v>0</v>
      </c>
      <c r="Y36" s="36">
        <v>23996</v>
      </c>
      <c r="Z36" s="37">
        <v>140448</v>
      </c>
      <c r="AA36" s="38">
        <v>0</v>
      </c>
      <c r="AB36" s="38">
        <v>27751</v>
      </c>
      <c r="AC36" s="39">
        <f t="shared" si="79"/>
        <v>168199</v>
      </c>
      <c r="AD36" s="45">
        <v>38169</v>
      </c>
      <c r="AE36" s="28">
        <v>200000</v>
      </c>
      <c r="AF36" s="41">
        <f>AD36/AE36</f>
        <v>0.19084499999999999</v>
      </c>
      <c r="AG36" s="32">
        <f t="shared" si="80"/>
        <v>38169</v>
      </c>
      <c r="AH36" s="35">
        <v>0</v>
      </c>
      <c r="AI36" s="43">
        <v>0</v>
      </c>
      <c r="AJ36" s="35">
        <v>91996</v>
      </c>
      <c r="AK36" s="43">
        <v>0</v>
      </c>
      <c r="AL36" s="44">
        <v>38169</v>
      </c>
      <c r="AM36" s="38">
        <v>0</v>
      </c>
      <c r="AN36" s="38">
        <v>0</v>
      </c>
      <c r="AO36" s="39">
        <f t="shared" si="81"/>
        <v>38169</v>
      </c>
      <c r="AP36" s="40">
        <f t="shared" si="82"/>
        <v>524215</v>
      </c>
      <c r="AQ36" s="28">
        <v>415000</v>
      </c>
      <c r="AR36" s="41">
        <f>AP36/AQ36</f>
        <v>1.2631686746987951</v>
      </c>
      <c r="AS36" s="30">
        <f t="shared" si="83"/>
        <v>76338</v>
      </c>
      <c r="AT36" s="30">
        <f t="shared" si="84"/>
        <v>80300</v>
      </c>
      <c r="AU36" s="42">
        <f t="shared" si="85"/>
        <v>680853</v>
      </c>
      <c r="AV36" s="33">
        <f t="shared" si="86"/>
        <v>0</v>
      </c>
      <c r="AW36" s="46">
        <f t="shared" si="87"/>
        <v>0</v>
      </c>
      <c r="AX36" s="33">
        <f t="shared" si="88"/>
        <v>91996</v>
      </c>
      <c r="AY36" s="46">
        <f t="shared" si="89"/>
        <v>23996</v>
      </c>
      <c r="AZ36" s="48">
        <f t="shared" si="90"/>
        <v>496464</v>
      </c>
      <c r="BA36" s="49">
        <f t="shared" si="91"/>
        <v>0</v>
      </c>
      <c r="BB36" s="49">
        <f t="shared" si="92"/>
        <v>27751</v>
      </c>
      <c r="BC36" s="50">
        <f t="shared" si="93"/>
        <v>524215</v>
      </c>
      <c r="BD36" s="51"/>
    </row>
    <row r="37" spans="1:56" s="52" customFormat="1" ht="21.75" customHeight="1" thickBot="1" x14ac:dyDescent="0.2">
      <c r="A37" s="53">
        <v>46142</v>
      </c>
      <c r="B37" s="27">
        <v>198454</v>
      </c>
      <c r="C37" s="28">
        <v>145000</v>
      </c>
      <c r="D37" s="29">
        <f>B37/C37</f>
        <v>1.3686482758620691</v>
      </c>
      <c r="E37" s="30">
        <v>8922</v>
      </c>
      <c r="F37" s="31">
        <v>304505</v>
      </c>
      <c r="G37" s="32">
        <f t="shared" si="76"/>
        <v>511881</v>
      </c>
      <c r="H37" s="33">
        <v>0</v>
      </c>
      <c r="I37" s="34">
        <v>0</v>
      </c>
      <c r="J37" s="35">
        <v>0</v>
      </c>
      <c r="K37" s="36">
        <v>0</v>
      </c>
      <c r="L37" s="37">
        <v>130540</v>
      </c>
      <c r="M37" s="38">
        <v>67914</v>
      </c>
      <c r="N37" s="38">
        <v>0</v>
      </c>
      <c r="O37" s="39">
        <f t="shared" si="77"/>
        <v>198454</v>
      </c>
      <c r="P37" s="40">
        <v>56796</v>
      </c>
      <c r="Q37" s="28">
        <v>70000</v>
      </c>
      <c r="R37" s="29">
        <f>P37/Q37</f>
        <v>0.81137142857142852</v>
      </c>
      <c r="S37" s="30">
        <v>31442</v>
      </c>
      <c r="T37" s="31">
        <v>0</v>
      </c>
      <c r="U37" s="32">
        <f t="shared" si="78"/>
        <v>88238</v>
      </c>
      <c r="V37" s="33">
        <v>0</v>
      </c>
      <c r="W37" s="34">
        <v>0</v>
      </c>
      <c r="X37" s="35">
        <v>0</v>
      </c>
      <c r="Y37" s="36">
        <v>0</v>
      </c>
      <c r="Z37" s="37">
        <v>0</v>
      </c>
      <c r="AA37" s="38">
        <v>56796</v>
      </c>
      <c r="AB37" s="38">
        <v>0</v>
      </c>
      <c r="AC37" s="39">
        <f t="shared" si="79"/>
        <v>56796</v>
      </c>
      <c r="AD37" s="45">
        <v>76338</v>
      </c>
      <c r="AE37" s="28">
        <v>200000</v>
      </c>
      <c r="AF37" s="41">
        <f>AD37/AE37</f>
        <v>0.38168999999999997</v>
      </c>
      <c r="AG37" s="32">
        <f t="shared" si="80"/>
        <v>76338</v>
      </c>
      <c r="AH37" s="35">
        <v>0</v>
      </c>
      <c r="AI37" s="43">
        <v>0</v>
      </c>
      <c r="AJ37" s="35">
        <v>4844</v>
      </c>
      <c r="AK37" s="43">
        <v>0</v>
      </c>
      <c r="AL37" s="44">
        <v>76338</v>
      </c>
      <c r="AM37" s="38">
        <v>0</v>
      </c>
      <c r="AN37" s="38">
        <v>0</v>
      </c>
      <c r="AO37" s="39">
        <f t="shared" si="81"/>
        <v>76338</v>
      </c>
      <c r="AP37" s="40">
        <f t="shared" si="82"/>
        <v>331588</v>
      </c>
      <c r="AQ37" s="28">
        <v>415000</v>
      </c>
      <c r="AR37" s="41">
        <f>AP37/AQ37</f>
        <v>0.79900722891566267</v>
      </c>
      <c r="AS37" s="30">
        <f t="shared" si="83"/>
        <v>40364</v>
      </c>
      <c r="AT37" s="30">
        <f t="shared" si="84"/>
        <v>304505</v>
      </c>
      <c r="AU37" s="42">
        <f t="shared" si="85"/>
        <v>676457</v>
      </c>
      <c r="AV37" s="33">
        <f t="shared" si="86"/>
        <v>0</v>
      </c>
      <c r="AW37" s="46">
        <f t="shared" si="87"/>
        <v>0</v>
      </c>
      <c r="AX37" s="33">
        <f t="shared" si="88"/>
        <v>4844</v>
      </c>
      <c r="AY37" s="47">
        <f t="shared" si="89"/>
        <v>0</v>
      </c>
      <c r="AZ37" s="48">
        <f t="shared" si="90"/>
        <v>206878</v>
      </c>
      <c r="BA37" s="49">
        <f t="shared" si="91"/>
        <v>124710</v>
      </c>
      <c r="BB37" s="49">
        <f t="shared" si="92"/>
        <v>0</v>
      </c>
      <c r="BC37" s="50">
        <f t="shared" si="93"/>
        <v>331588</v>
      </c>
      <c r="BD37" s="51"/>
    </row>
    <row r="38" spans="1:56" s="10" customFormat="1" ht="21.75" customHeight="1" thickTop="1" thickBot="1" x14ac:dyDescent="0.2">
      <c r="A38" s="54" t="s">
        <v>26</v>
      </c>
      <c r="B38" s="55">
        <f>SUM(B8:B37)</f>
        <v>3084813</v>
      </c>
      <c r="C38" s="56">
        <f>SUM(C8:C37)</f>
        <v>3190000</v>
      </c>
      <c r="D38" s="57">
        <f>B38/C38</f>
        <v>0.96702601880877748</v>
      </c>
      <c r="E38" s="58">
        <f>SUM(E8:E37)</f>
        <v>1452121</v>
      </c>
      <c r="F38" s="59">
        <f>SUM(F8:F37)</f>
        <v>3731484</v>
      </c>
      <c r="G38" s="60">
        <f>B38+E38+F38</f>
        <v>8268418</v>
      </c>
      <c r="H38" s="61">
        <f t="shared" ref="H38:N38" si="94">SUM(H8:H37)</f>
        <v>0</v>
      </c>
      <c r="I38" s="62">
        <f t="shared" si="94"/>
        <v>0</v>
      </c>
      <c r="J38" s="61">
        <f t="shared" si="94"/>
        <v>91251</v>
      </c>
      <c r="K38" s="62">
        <f t="shared" si="94"/>
        <v>154456</v>
      </c>
      <c r="L38" s="63">
        <f t="shared" si="94"/>
        <v>2339527</v>
      </c>
      <c r="M38" s="63">
        <f t="shared" si="94"/>
        <v>720050</v>
      </c>
      <c r="N38" s="63">
        <f t="shared" si="94"/>
        <v>25236</v>
      </c>
      <c r="O38" s="64">
        <f>SUM(L38:N38)</f>
        <v>3084813</v>
      </c>
      <c r="P38" s="65">
        <f>SUM(P8:P37)</f>
        <v>2003872</v>
      </c>
      <c r="Q38" s="56">
        <f>SUM(Q8:Q37)</f>
        <v>1540000</v>
      </c>
      <c r="R38" s="57">
        <f>P38/Q38</f>
        <v>1.3012155844155844</v>
      </c>
      <c r="S38" s="58">
        <f>SUM(S8:S37)</f>
        <v>454354</v>
      </c>
      <c r="T38" s="59">
        <f>SUM(T8:T37)</f>
        <v>509050</v>
      </c>
      <c r="U38" s="60">
        <f>P38+S38+T38</f>
        <v>2967276</v>
      </c>
      <c r="V38" s="61">
        <f t="shared" ref="V38:AB38" si="95">SUM(V8:V37)</f>
        <v>0</v>
      </c>
      <c r="W38" s="62">
        <f t="shared" si="95"/>
        <v>0</v>
      </c>
      <c r="X38" s="61">
        <f t="shared" si="95"/>
        <v>19808</v>
      </c>
      <c r="Y38" s="62">
        <f t="shared" si="95"/>
        <v>86479</v>
      </c>
      <c r="Z38" s="63">
        <f t="shared" si="95"/>
        <v>1195939</v>
      </c>
      <c r="AA38" s="63">
        <f t="shared" si="95"/>
        <v>775830</v>
      </c>
      <c r="AB38" s="63">
        <f t="shared" si="95"/>
        <v>32103</v>
      </c>
      <c r="AC38" s="64">
        <f>SUM(Z38:AB38)</f>
        <v>2003872</v>
      </c>
      <c r="AD38" s="69">
        <f>SUM(AD8:AD37)</f>
        <v>1865729</v>
      </c>
      <c r="AE38" s="56">
        <f>SUM(AE8:AE37)</f>
        <v>4400000</v>
      </c>
      <c r="AF38" s="57">
        <f>AD38/AE38</f>
        <v>0.42402931818181816</v>
      </c>
      <c r="AG38" s="60">
        <f t="shared" ref="AG38:AQ38" si="96">SUM(AG8:AG37)</f>
        <v>1865729</v>
      </c>
      <c r="AH38" s="61">
        <f t="shared" si="96"/>
        <v>0</v>
      </c>
      <c r="AI38" s="62">
        <f t="shared" si="96"/>
        <v>0</v>
      </c>
      <c r="AJ38" s="61">
        <f t="shared" si="96"/>
        <v>728821</v>
      </c>
      <c r="AK38" s="62">
        <f t="shared" si="96"/>
        <v>0</v>
      </c>
      <c r="AL38" s="63">
        <f t="shared" si="96"/>
        <v>1495345</v>
      </c>
      <c r="AM38" s="63">
        <f t="shared" si="96"/>
        <v>304372</v>
      </c>
      <c r="AN38" s="63">
        <f t="shared" si="96"/>
        <v>66012</v>
      </c>
      <c r="AO38" s="70">
        <f t="shared" si="96"/>
        <v>1865729</v>
      </c>
      <c r="AP38" s="71">
        <f>SUM(AP8:AP37)</f>
        <v>6954414</v>
      </c>
      <c r="AQ38" s="56">
        <f t="shared" si="96"/>
        <v>9130000</v>
      </c>
      <c r="AR38" s="97">
        <f>AP38/AQ38</f>
        <v>0.76171018619934283</v>
      </c>
      <c r="AS38" s="58">
        <f t="shared" ref="AS38:BB38" si="97">SUM(AS8:AS37)</f>
        <v>1906475</v>
      </c>
      <c r="AT38" s="58">
        <f t="shared" si="97"/>
        <v>4240534</v>
      </c>
      <c r="AU38" s="72">
        <f t="shared" si="97"/>
        <v>13101423</v>
      </c>
      <c r="AV38" s="61">
        <f t="shared" si="97"/>
        <v>0</v>
      </c>
      <c r="AW38" s="73">
        <f t="shared" si="97"/>
        <v>0</v>
      </c>
      <c r="AX38" s="61">
        <f t="shared" si="97"/>
        <v>839880</v>
      </c>
      <c r="AY38" s="73">
        <f t="shared" si="97"/>
        <v>240935</v>
      </c>
      <c r="AZ38" s="74">
        <f t="shared" si="97"/>
        <v>5030811</v>
      </c>
      <c r="BA38" s="75">
        <f>SUM(BA8:BA37)</f>
        <v>1800252</v>
      </c>
      <c r="BB38" s="75">
        <f t="shared" si="97"/>
        <v>123351</v>
      </c>
      <c r="BC38" s="64">
        <f>SUM(AZ38:BB38)</f>
        <v>6954414</v>
      </c>
      <c r="BD38" s="76">
        <f>SUM(BD8:BD37)</f>
        <v>0</v>
      </c>
    </row>
    <row r="39" spans="1:56" x14ac:dyDescent="0.15">
      <c r="B39" s="78"/>
      <c r="C39" s="78"/>
      <c r="D39" s="78"/>
      <c r="E39" s="78"/>
      <c r="P39" s="78"/>
      <c r="R39" s="78"/>
      <c r="S39" s="78"/>
    </row>
    <row r="40" spans="1:56" ht="20.25" x14ac:dyDescent="0.2">
      <c r="D40" s="77" ph="1"/>
      <c r="R40" s="77" ph="1"/>
    </row>
    <row r="41" spans="1:56" ht="20.25" x14ac:dyDescent="0.2">
      <c r="D41" s="77" ph="1"/>
      <c r="R41" s="77" ph="1"/>
      <c r="BA41" s="100"/>
      <c r="BB41" s="100"/>
    </row>
    <row r="42" spans="1:56" ht="20.25" x14ac:dyDescent="0.2">
      <c r="D42" s="77" ph="1"/>
      <c r="R42" s="77" ph="1"/>
    </row>
    <row r="43" spans="1:56" ht="20.25" x14ac:dyDescent="0.2">
      <c r="D43" s="77" ph="1"/>
      <c r="R43" s="77" ph="1"/>
    </row>
    <row r="44" spans="1:56" ht="20.25" x14ac:dyDescent="0.2">
      <c r="D44" s="77" ph="1"/>
      <c r="R44" s="77" ph="1"/>
    </row>
    <row r="45" spans="1:56" ht="20.25" x14ac:dyDescent="0.2">
      <c r="D45" s="77" ph="1"/>
      <c r="R45" s="77" ph="1"/>
    </row>
    <row r="11053" spans="46:46" x14ac:dyDescent="0.15">
      <c r="AT11053" s="83" t="s">
        <v>130</v>
      </c>
    </row>
    <row r="11575" spans="41:41" x14ac:dyDescent="0.15">
      <c r="AO11575" s="80" t="s">
        <v>129</v>
      </c>
    </row>
  </sheetData>
  <customSheetViews>
    <customSheetView guid="{92DE7E81-188B-400C-BE95-FD63ABDF8569}" scale="70" printArea="1" hiddenColumns="1" view="pageBreakPreview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70" printArea="1" hiddenColumns="1" view="pageBreakPreview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70" printArea="1" hiddenColumns="1" view="pageBreakPreview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70" printArea="1" hiddenColumns="1" view="pageBreakPreview" showRuler="0">
      <pane xSplit="1" ySplit="7" topLeftCell="B11" activePane="bottomRight" state="frozen"/>
      <selection pane="bottomRight" activeCell="U20" sqref="U20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0">
    <mergeCell ref="A1:D4"/>
    <mergeCell ref="E1:Q2"/>
    <mergeCell ref="AR1:AS1"/>
    <mergeCell ref="E3:Q3"/>
    <mergeCell ref="E4:Q4"/>
    <mergeCell ref="AQ1:AQ4"/>
    <mergeCell ref="R1:AP2"/>
    <mergeCell ref="R3:AP3"/>
    <mergeCell ref="R4:AP4"/>
    <mergeCell ref="AT1:AW1"/>
    <mergeCell ref="AG6:AG7"/>
    <mergeCell ref="AX1:AY1"/>
    <mergeCell ref="AR2:AS4"/>
    <mergeCell ref="AT2:AW4"/>
    <mergeCell ref="AX2:AY4"/>
    <mergeCell ref="AP6:AR6"/>
    <mergeCell ref="AS6:AS7"/>
    <mergeCell ref="AT6:AT7"/>
    <mergeCell ref="AH5:AO5"/>
    <mergeCell ref="AP5:AY5"/>
    <mergeCell ref="J6:K6"/>
    <mergeCell ref="A5:A7"/>
    <mergeCell ref="B5:G5"/>
    <mergeCell ref="H5:O5"/>
    <mergeCell ref="P5:U5"/>
    <mergeCell ref="B6:D6"/>
    <mergeCell ref="E6:E7"/>
    <mergeCell ref="F6:F7"/>
    <mergeCell ref="G6:G7"/>
    <mergeCell ref="H6:I6"/>
    <mergeCell ref="L6:O6"/>
    <mergeCell ref="P6:R6"/>
    <mergeCell ref="S6:S7"/>
    <mergeCell ref="T6:T7"/>
    <mergeCell ref="AZ5:BC5"/>
    <mergeCell ref="BD5:BD7"/>
    <mergeCell ref="U6:U7"/>
    <mergeCell ref="V6:W6"/>
    <mergeCell ref="X6:Y6"/>
    <mergeCell ref="Z6:AC6"/>
    <mergeCell ref="AD6:AF6"/>
    <mergeCell ref="AU6:AU7"/>
    <mergeCell ref="AV6:AW6"/>
    <mergeCell ref="AX6:AY6"/>
    <mergeCell ref="AZ6:BC6"/>
    <mergeCell ref="AH6:AI6"/>
    <mergeCell ref="AJ6:AK6"/>
    <mergeCell ref="AL6:AO6"/>
    <mergeCell ref="V5:AC5"/>
    <mergeCell ref="AD5:AG5"/>
  </mergeCells>
  <phoneticPr fontId="3" type="noConversion"/>
  <pageMargins left="0.23" right="0" top="0.75" bottom="0" header="0.39370078740157483" footer="0.2"/>
  <pageSetup paperSize="9" scale="53" orientation="landscape" r:id="rId5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D11576"/>
  <sheetViews>
    <sheetView showRuler="0" zoomScale="85" zoomScaleNormal="70" zoomScaleSheetLayoutView="85" workbookViewId="0">
      <pane xSplit="1" ySplit="7" topLeftCell="AB17" activePane="bottomRight" state="frozen"/>
      <selection pane="topRight" activeCell="B1" sqref="B1"/>
      <selection pane="bottomLeft" activeCell="A8" sqref="A8"/>
      <selection pane="bottomRight" activeCell="AW35" sqref="AW35"/>
    </sheetView>
  </sheetViews>
  <sheetFormatPr defaultRowHeight="15" x14ac:dyDescent="0.15"/>
  <cols>
    <col min="1" max="1" width="7" style="77" customWidth="1"/>
    <col min="2" max="3" width="10.33203125" style="77" customWidth="1"/>
    <col min="4" max="4" width="10.109375" style="77" customWidth="1"/>
    <col min="5" max="6" width="9.88671875" style="77" customWidth="1"/>
    <col min="7" max="7" width="10.21875" style="77" customWidth="1"/>
    <col min="8" max="8" width="10.33203125" style="79" customWidth="1"/>
    <col min="9" max="9" width="10" style="79" customWidth="1"/>
    <col min="10" max="10" width="10.33203125" style="79" customWidth="1"/>
    <col min="11" max="11" width="10" style="79" customWidth="1"/>
    <col min="12" max="15" width="10.33203125" style="80" customWidth="1"/>
    <col min="16" max="16" width="10.33203125" style="77" customWidth="1"/>
    <col min="17" max="17" width="10.33203125" style="81" customWidth="1"/>
    <col min="18" max="19" width="10.109375" style="77" customWidth="1"/>
    <col min="20" max="20" width="9.88671875" style="82" customWidth="1"/>
    <col min="21" max="21" width="10.21875" style="77" customWidth="1"/>
    <col min="22" max="22" width="10.33203125" style="79" customWidth="1"/>
    <col min="23" max="23" width="10" style="79" customWidth="1"/>
    <col min="24" max="24" width="10.33203125" style="79" customWidth="1"/>
    <col min="25" max="25" width="10" style="79" customWidth="1"/>
    <col min="26" max="29" width="10.33203125" style="80" customWidth="1"/>
    <col min="30" max="30" width="11.109375" style="77" customWidth="1"/>
    <col min="31" max="31" width="10.33203125" style="81" customWidth="1"/>
    <col min="32" max="32" width="10.109375" style="77" customWidth="1"/>
    <col min="33" max="33" width="10.33203125" style="77" customWidth="1"/>
    <col min="34" max="34" width="10.33203125" style="79" customWidth="1"/>
    <col min="35" max="35" width="10" style="79" customWidth="1"/>
    <col min="36" max="36" width="10.33203125" style="79" customWidth="1"/>
    <col min="37" max="37" width="10" style="79" customWidth="1"/>
    <col min="38" max="41" width="10.33203125" style="80" customWidth="1"/>
    <col min="42" max="42" width="11.6640625" style="77" customWidth="1"/>
    <col min="43" max="43" width="10.88671875" style="81" customWidth="1"/>
    <col min="44" max="44" width="9.33203125" style="77" customWidth="1"/>
    <col min="45" max="45" width="10.33203125" style="77" customWidth="1"/>
    <col min="46" max="46" width="10.33203125" style="83" customWidth="1"/>
    <col min="47" max="47" width="11.33203125" style="77" customWidth="1"/>
    <col min="48" max="48" width="10.33203125" style="79" customWidth="1"/>
    <col min="49" max="49" width="10" style="79" customWidth="1"/>
    <col min="50" max="50" width="10.33203125" style="79" customWidth="1"/>
    <col min="51" max="51" width="10" style="79" customWidth="1"/>
    <col min="52" max="54" width="10.33203125" style="84" customWidth="1"/>
    <col min="55" max="55" width="11.21875" style="84" customWidth="1"/>
    <col min="56" max="56" width="11.5546875" style="85" customWidth="1"/>
    <col min="57" max="57" width="8.88671875" style="85" customWidth="1"/>
    <col min="58" max="58" width="9.77734375" style="85" bestFit="1" customWidth="1"/>
    <col min="59" max="16384" width="8.88671875" style="85"/>
  </cols>
  <sheetData>
    <row r="1" spans="1:56" s="5" customFormat="1" ht="28.5" customHeight="1" x14ac:dyDescent="0.15">
      <c r="A1" s="101"/>
      <c r="B1" s="102"/>
      <c r="C1" s="102"/>
      <c r="D1" s="102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07" t="s">
        <v>1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9"/>
      <c r="AQ1" s="182" t="s">
        <v>123</v>
      </c>
      <c r="AR1" s="113" t="s">
        <v>3</v>
      </c>
      <c r="AS1" s="113"/>
      <c r="AT1" s="113" t="s">
        <v>4</v>
      </c>
      <c r="AU1" s="113"/>
      <c r="AV1" s="113"/>
      <c r="AW1" s="113"/>
      <c r="AX1" s="113" t="s">
        <v>5</v>
      </c>
      <c r="AY1" s="132"/>
      <c r="AZ1" s="3"/>
      <c r="BA1" s="4"/>
      <c r="BB1" s="4"/>
      <c r="BC1" s="4"/>
    </row>
    <row r="2" spans="1:56" s="5" customFormat="1" ht="15" customHeight="1" x14ac:dyDescent="0.15">
      <c r="A2" s="103"/>
      <c r="B2" s="104"/>
      <c r="C2" s="104"/>
      <c r="D2" s="104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79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1"/>
      <c r="AQ2" s="183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</row>
    <row r="3" spans="1:56" s="5" customFormat="1" ht="39.950000000000003" customHeight="1" x14ac:dyDescent="0.15">
      <c r="A3" s="103"/>
      <c r="B3" s="104"/>
      <c r="C3" s="104"/>
      <c r="D3" s="104"/>
      <c r="E3" s="120" t="s">
        <v>138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2"/>
      <c r="R3" s="138" t="s">
        <v>139</v>
      </c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83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</row>
    <row r="4" spans="1:56" s="5" customFormat="1" ht="39.950000000000003" customHeight="1" thickBot="1" x14ac:dyDescent="0.2">
      <c r="A4" s="105"/>
      <c r="B4" s="106"/>
      <c r="C4" s="106"/>
      <c r="D4" s="106"/>
      <c r="E4" s="123" t="s">
        <v>7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41" t="s">
        <v>8</v>
      </c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3"/>
      <c r="AQ4" s="184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</row>
    <row r="5" spans="1:56" s="10" customFormat="1" ht="21.75" customHeight="1" thickBot="1" x14ac:dyDescent="0.2">
      <c r="A5" s="144"/>
      <c r="B5" s="147" t="s">
        <v>133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134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135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137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9</v>
      </c>
      <c r="BA5" s="172"/>
      <c r="BB5" s="172"/>
      <c r="BC5" s="173"/>
      <c r="BD5" s="155" t="s">
        <v>10</v>
      </c>
    </row>
    <row r="6" spans="1:56" s="11" customFormat="1" ht="21.75" customHeight="1" x14ac:dyDescent="0.15">
      <c r="A6" s="145"/>
      <c r="B6" s="150" t="s">
        <v>106</v>
      </c>
      <c r="C6" s="151"/>
      <c r="D6" s="151"/>
      <c r="E6" s="151" t="s">
        <v>11</v>
      </c>
      <c r="F6" s="153" t="s">
        <v>12</v>
      </c>
      <c r="G6" s="151" t="s">
        <v>13</v>
      </c>
      <c r="H6" s="159" t="s">
        <v>14</v>
      </c>
      <c r="I6" s="159"/>
      <c r="J6" s="159" t="s">
        <v>15</v>
      </c>
      <c r="K6" s="159"/>
      <c r="L6" s="160" t="s">
        <v>16</v>
      </c>
      <c r="M6" s="160"/>
      <c r="N6" s="160"/>
      <c r="O6" s="161"/>
      <c r="P6" s="150" t="s">
        <v>101</v>
      </c>
      <c r="Q6" s="151"/>
      <c r="R6" s="151"/>
      <c r="S6" s="151" t="s">
        <v>11</v>
      </c>
      <c r="T6" s="153" t="s">
        <v>12</v>
      </c>
      <c r="U6" s="151" t="s">
        <v>13</v>
      </c>
      <c r="V6" s="159" t="s">
        <v>14</v>
      </c>
      <c r="W6" s="159"/>
      <c r="X6" s="159" t="s">
        <v>15</v>
      </c>
      <c r="Y6" s="159"/>
      <c r="Z6" s="160" t="s">
        <v>16</v>
      </c>
      <c r="AA6" s="160"/>
      <c r="AB6" s="160"/>
      <c r="AC6" s="161"/>
      <c r="AD6" s="150" t="s">
        <v>136</v>
      </c>
      <c r="AE6" s="151"/>
      <c r="AF6" s="151"/>
      <c r="AG6" s="177" t="s">
        <v>13</v>
      </c>
      <c r="AH6" s="158" t="s">
        <v>14</v>
      </c>
      <c r="AI6" s="159"/>
      <c r="AJ6" s="159" t="s">
        <v>15</v>
      </c>
      <c r="AK6" s="159"/>
      <c r="AL6" s="160" t="s">
        <v>16</v>
      </c>
      <c r="AM6" s="160"/>
      <c r="AN6" s="160"/>
      <c r="AO6" s="161"/>
      <c r="AP6" s="150" t="s">
        <v>104</v>
      </c>
      <c r="AQ6" s="151"/>
      <c r="AR6" s="151"/>
      <c r="AS6" s="151" t="s">
        <v>11</v>
      </c>
      <c r="AT6" s="151" t="s">
        <v>12</v>
      </c>
      <c r="AU6" s="162" t="s">
        <v>13</v>
      </c>
      <c r="AV6" s="164" t="s">
        <v>14</v>
      </c>
      <c r="AW6" s="165"/>
      <c r="AX6" s="164" t="s">
        <v>15</v>
      </c>
      <c r="AY6" s="165"/>
      <c r="AZ6" s="174" t="s">
        <v>16</v>
      </c>
      <c r="BA6" s="175"/>
      <c r="BB6" s="175"/>
      <c r="BC6" s="176"/>
      <c r="BD6" s="156"/>
    </row>
    <row r="7" spans="1:56" s="25" customFormat="1" ht="21" customHeight="1" thickBot="1" x14ac:dyDescent="0.2">
      <c r="A7" s="146"/>
      <c r="B7" s="12" t="s">
        <v>17</v>
      </c>
      <c r="C7" s="13" t="s">
        <v>18</v>
      </c>
      <c r="D7" s="14" t="s">
        <v>19</v>
      </c>
      <c r="E7" s="152"/>
      <c r="F7" s="154"/>
      <c r="G7" s="152"/>
      <c r="H7" s="15" t="s">
        <v>20</v>
      </c>
      <c r="I7" s="15" t="s">
        <v>21</v>
      </c>
      <c r="J7" s="15" t="s">
        <v>20</v>
      </c>
      <c r="K7" s="15" t="s">
        <v>21</v>
      </c>
      <c r="L7" s="16" t="s">
        <v>22</v>
      </c>
      <c r="M7" s="16" t="s">
        <v>23</v>
      </c>
      <c r="N7" s="16" t="s">
        <v>24</v>
      </c>
      <c r="O7" s="17" t="s">
        <v>13</v>
      </c>
      <c r="P7" s="12" t="s">
        <v>17</v>
      </c>
      <c r="Q7" s="13" t="s">
        <v>18</v>
      </c>
      <c r="R7" s="14" t="s">
        <v>19</v>
      </c>
      <c r="S7" s="152"/>
      <c r="T7" s="154"/>
      <c r="U7" s="152"/>
      <c r="V7" s="15" t="s">
        <v>25</v>
      </c>
      <c r="W7" s="15" t="s">
        <v>21</v>
      </c>
      <c r="X7" s="15" t="s">
        <v>20</v>
      </c>
      <c r="Y7" s="15" t="s">
        <v>21</v>
      </c>
      <c r="Z7" s="16" t="s">
        <v>22</v>
      </c>
      <c r="AA7" s="16" t="s">
        <v>23</v>
      </c>
      <c r="AB7" s="16" t="s">
        <v>24</v>
      </c>
      <c r="AC7" s="17" t="s">
        <v>13</v>
      </c>
      <c r="AD7" s="12" t="s">
        <v>17</v>
      </c>
      <c r="AE7" s="13" t="s">
        <v>18</v>
      </c>
      <c r="AF7" s="14" t="s">
        <v>19</v>
      </c>
      <c r="AG7" s="178"/>
      <c r="AH7" s="19" t="s">
        <v>20</v>
      </c>
      <c r="AI7" s="15" t="s">
        <v>21</v>
      </c>
      <c r="AJ7" s="15" t="s">
        <v>20</v>
      </c>
      <c r="AK7" s="15" t="s">
        <v>21</v>
      </c>
      <c r="AL7" s="16" t="s">
        <v>22</v>
      </c>
      <c r="AM7" s="16" t="s">
        <v>23</v>
      </c>
      <c r="AN7" s="16" t="s">
        <v>24</v>
      </c>
      <c r="AO7" s="17" t="s">
        <v>13</v>
      </c>
      <c r="AP7" s="12" t="s">
        <v>17</v>
      </c>
      <c r="AQ7" s="13" t="s">
        <v>18</v>
      </c>
      <c r="AR7" s="14" t="s">
        <v>19</v>
      </c>
      <c r="AS7" s="152"/>
      <c r="AT7" s="152"/>
      <c r="AU7" s="163"/>
      <c r="AV7" s="20" t="s">
        <v>20</v>
      </c>
      <c r="AW7" s="21" t="s">
        <v>21</v>
      </c>
      <c r="AX7" s="20" t="s">
        <v>20</v>
      </c>
      <c r="AY7" s="21" t="s">
        <v>21</v>
      </c>
      <c r="AZ7" s="22" t="s">
        <v>22</v>
      </c>
      <c r="BA7" s="23" t="s">
        <v>23</v>
      </c>
      <c r="BB7" s="23" t="s">
        <v>24</v>
      </c>
      <c r="BC7" s="24" t="s">
        <v>13</v>
      </c>
      <c r="BD7" s="157"/>
    </row>
    <row r="8" spans="1:56" s="52" customFormat="1" ht="21.75" customHeight="1" x14ac:dyDescent="0.15">
      <c r="A8" s="26">
        <v>46143</v>
      </c>
      <c r="B8" s="27">
        <v>0</v>
      </c>
      <c r="C8" s="28">
        <v>0</v>
      </c>
      <c r="D8" s="29">
        <v>0</v>
      </c>
      <c r="E8" s="30">
        <v>0</v>
      </c>
      <c r="F8" s="31">
        <v>0</v>
      </c>
      <c r="G8" s="32">
        <f t="shared" ref="G8:G10" si="0">B8+E8+F8</f>
        <v>0</v>
      </c>
      <c r="H8" s="33">
        <v>0</v>
      </c>
      <c r="I8" s="34">
        <v>0</v>
      </c>
      <c r="J8" s="35">
        <v>0</v>
      </c>
      <c r="K8" s="36">
        <v>0</v>
      </c>
      <c r="L8" s="37">
        <v>0</v>
      </c>
      <c r="M8" s="38">
        <v>0</v>
      </c>
      <c r="N8" s="38">
        <v>0</v>
      </c>
      <c r="O8" s="39">
        <f t="shared" ref="O8:O10" si="1">SUM(L8:N8)</f>
        <v>0</v>
      </c>
      <c r="P8" s="40">
        <v>0</v>
      </c>
      <c r="Q8" s="28">
        <v>0</v>
      </c>
      <c r="R8" s="29">
        <v>0</v>
      </c>
      <c r="S8" s="30">
        <v>0</v>
      </c>
      <c r="T8" s="31">
        <v>0</v>
      </c>
      <c r="U8" s="32">
        <f t="shared" ref="U8:U10" si="2">P8+S8+T8</f>
        <v>0</v>
      </c>
      <c r="V8" s="33">
        <v>0</v>
      </c>
      <c r="W8" s="34">
        <v>0</v>
      </c>
      <c r="X8" s="35">
        <v>0</v>
      </c>
      <c r="Y8" s="36">
        <v>0</v>
      </c>
      <c r="Z8" s="37">
        <v>0</v>
      </c>
      <c r="AA8" s="38">
        <v>0</v>
      </c>
      <c r="AB8" s="38">
        <v>0</v>
      </c>
      <c r="AC8" s="39">
        <f t="shared" ref="AC8:AC10" si="3">SUM(Z8:AB8)</f>
        <v>0</v>
      </c>
      <c r="AD8" s="45">
        <v>0</v>
      </c>
      <c r="AE8" s="28">
        <v>0</v>
      </c>
      <c r="AF8" s="41">
        <v>0</v>
      </c>
      <c r="AG8" s="32">
        <f t="shared" ref="AG8:AG10" si="4">AD8</f>
        <v>0</v>
      </c>
      <c r="AH8" s="35">
        <v>0</v>
      </c>
      <c r="AI8" s="43">
        <v>0</v>
      </c>
      <c r="AJ8" s="35">
        <v>0</v>
      </c>
      <c r="AK8" s="43">
        <v>0</v>
      </c>
      <c r="AL8" s="44">
        <v>0</v>
      </c>
      <c r="AM8" s="38">
        <v>0</v>
      </c>
      <c r="AN8" s="38">
        <v>0</v>
      </c>
      <c r="AO8" s="39">
        <f t="shared" ref="AO8:AO10" si="5">SUM(AL8:AN8)</f>
        <v>0</v>
      </c>
      <c r="AP8" s="40">
        <f t="shared" ref="AP8:AP10" si="6">AD8+P8+B8</f>
        <v>0</v>
      </c>
      <c r="AQ8" s="28">
        <v>0</v>
      </c>
      <c r="AR8" s="41">
        <v>0</v>
      </c>
      <c r="AS8" s="30">
        <f t="shared" ref="AS8:AT10" si="7">E8+S8</f>
        <v>0</v>
      </c>
      <c r="AT8" s="30">
        <f t="shared" si="7"/>
        <v>0</v>
      </c>
      <c r="AU8" s="42">
        <f t="shared" ref="AU8:AU10" si="8">AP8+AS8+AT8</f>
        <v>0</v>
      </c>
      <c r="AV8" s="33">
        <f t="shared" ref="AV8:AY10" si="9">SUM(H8,V8,AH8)</f>
        <v>0</v>
      </c>
      <c r="AW8" s="46">
        <f t="shared" si="9"/>
        <v>0</v>
      </c>
      <c r="AX8" s="33">
        <f t="shared" si="9"/>
        <v>0</v>
      </c>
      <c r="AY8" s="46">
        <f t="shared" si="9"/>
        <v>0</v>
      </c>
      <c r="AZ8" s="48">
        <f t="shared" ref="AZ8:BB10" si="10">L8+Z8+AL8</f>
        <v>0</v>
      </c>
      <c r="BA8" s="49">
        <f t="shared" si="10"/>
        <v>0</v>
      </c>
      <c r="BB8" s="49">
        <f t="shared" si="10"/>
        <v>0</v>
      </c>
      <c r="BC8" s="50">
        <f t="shared" ref="BC8:BC10" si="11">SUM(AZ8:BB8)</f>
        <v>0</v>
      </c>
      <c r="BD8" s="51">
        <v>0</v>
      </c>
    </row>
    <row r="9" spans="1:56" s="52" customFormat="1" ht="21.75" customHeight="1" x14ac:dyDescent="0.15">
      <c r="A9" s="26">
        <v>46144</v>
      </c>
      <c r="B9" s="27">
        <v>0</v>
      </c>
      <c r="C9" s="28">
        <v>0</v>
      </c>
      <c r="D9" s="29">
        <v>0</v>
      </c>
      <c r="E9" s="30">
        <v>0</v>
      </c>
      <c r="F9" s="31">
        <v>0</v>
      </c>
      <c r="G9" s="32">
        <f t="shared" si="0"/>
        <v>0</v>
      </c>
      <c r="H9" s="33">
        <v>0</v>
      </c>
      <c r="I9" s="34">
        <v>0</v>
      </c>
      <c r="J9" s="35">
        <v>0</v>
      </c>
      <c r="K9" s="36">
        <v>0</v>
      </c>
      <c r="L9" s="37">
        <v>0</v>
      </c>
      <c r="M9" s="38">
        <v>0</v>
      </c>
      <c r="N9" s="38">
        <v>0</v>
      </c>
      <c r="O9" s="39">
        <f t="shared" si="1"/>
        <v>0</v>
      </c>
      <c r="P9" s="40">
        <v>0</v>
      </c>
      <c r="Q9" s="28">
        <v>0</v>
      </c>
      <c r="R9" s="29">
        <v>0</v>
      </c>
      <c r="S9" s="30">
        <v>0</v>
      </c>
      <c r="T9" s="31">
        <v>0</v>
      </c>
      <c r="U9" s="32">
        <f t="shared" si="2"/>
        <v>0</v>
      </c>
      <c r="V9" s="33">
        <v>0</v>
      </c>
      <c r="W9" s="34">
        <v>0</v>
      </c>
      <c r="X9" s="35">
        <v>0</v>
      </c>
      <c r="Y9" s="36">
        <v>0</v>
      </c>
      <c r="Z9" s="37">
        <v>0</v>
      </c>
      <c r="AA9" s="38">
        <v>0</v>
      </c>
      <c r="AB9" s="38">
        <v>0</v>
      </c>
      <c r="AC9" s="39">
        <f t="shared" si="3"/>
        <v>0</v>
      </c>
      <c r="AD9" s="45">
        <v>0</v>
      </c>
      <c r="AE9" s="28">
        <v>0</v>
      </c>
      <c r="AF9" s="41">
        <v>0</v>
      </c>
      <c r="AG9" s="32">
        <f t="shared" si="4"/>
        <v>0</v>
      </c>
      <c r="AH9" s="35">
        <v>0</v>
      </c>
      <c r="AI9" s="43">
        <v>0</v>
      </c>
      <c r="AJ9" s="35">
        <v>0</v>
      </c>
      <c r="AK9" s="43">
        <v>0</v>
      </c>
      <c r="AL9" s="44">
        <v>0</v>
      </c>
      <c r="AM9" s="38">
        <v>0</v>
      </c>
      <c r="AN9" s="38">
        <v>0</v>
      </c>
      <c r="AO9" s="39">
        <f t="shared" si="5"/>
        <v>0</v>
      </c>
      <c r="AP9" s="40">
        <f t="shared" si="6"/>
        <v>0</v>
      </c>
      <c r="AQ9" s="28">
        <v>0</v>
      </c>
      <c r="AR9" s="41">
        <v>0</v>
      </c>
      <c r="AS9" s="30">
        <f t="shared" si="7"/>
        <v>0</v>
      </c>
      <c r="AT9" s="30">
        <f t="shared" si="7"/>
        <v>0</v>
      </c>
      <c r="AU9" s="42">
        <f t="shared" si="8"/>
        <v>0</v>
      </c>
      <c r="AV9" s="33">
        <f t="shared" si="9"/>
        <v>0</v>
      </c>
      <c r="AW9" s="46">
        <f t="shared" si="9"/>
        <v>0</v>
      </c>
      <c r="AX9" s="33">
        <f t="shared" si="9"/>
        <v>0</v>
      </c>
      <c r="AY9" s="46">
        <f t="shared" si="9"/>
        <v>0</v>
      </c>
      <c r="AZ9" s="48">
        <f t="shared" si="10"/>
        <v>0</v>
      </c>
      <c r="BA9" s="49">
        <f t="shared" si="10"/>
        <v>0</v>
      </c>
      <c r="BB9" s="49">
        <f t="shared" si="10"/>
        <v>0</v>
      </c>
      <c r="BC9" s="50">
        <f t="shared" si="11"/>
        <v>0</v>
      </c>
      <c r="BD9" s="51"/>
    </row>
    <row r="10" spans="1:56" s="52" customFormat="1" ht="21.75" customHeight="1" x14ac:dyDescent="0.15">
      <c r="A10" s="26">
        <v>46145</v>
      </c>
      <c r="B10" s="27">
        <v>0</v>
      </c>
      <c r="C10" s="28">
        <v>0</v>
      </c>
      <c r="D10" s="29">
        <v>0</v>
      </c>
      <c r="E10" s="30">
        <v>0</v>
      </c>
      <c r="F10" s="31">
        <v>0</v>
      </c>
      <c r="G10" s="32">
        <f t="shared" si="0"/>
        <v>0</v>
      </c>
      <c r="H10" s="33">
        <v>0</v>
      </c>
      <c r="I10" s="34">
        <v>0</v>
      </c>
      <c r="J10" s="35">
        <v>0</v>
      </c>
      <c r="K10" s="36">
        <v>0</v>
      </c>
      <c r="L10" s="37">
        <v>0</v>
      </c>
      <c r="M10" s="38">
        <v>0</v>
      </c>
      <c r="N10" s="38">
        <v>0</v>
      </c>
      <c r="O10" s="39">
        <f t="shared" si="1"/>
        <v>0</v>
      </c>
      <c r="P10" s="40">
        <v>0</v>
      </c>
      <c r="Q10" s="28">
        <v>0</v>
      </c>
      <c r="R10" s="29">
        <v>0</v>
      </c>
      <c r="S10" s="30">
        <v>0</v>
      </c>
      <c r="T10" s="31">
        <v>0</v>
      </c>
      <c r="U10" s="32">
        <f t="shared" si="2"/>
        <v>0</v>
      </c>
      <c r="V10" s="33">
        <v>0</v>
      </c>
      <c r="W10" s="34">
        <v>0</v>
      </c>
      <c r="X10" s="35">
        <v>0</v>
      </c>
      <c r="Y10" s="36">
        <v>0</v>
      </c>
      <c r="Z10" s="37">
        <v>0</v>
      </c>
      <c r="AA10" s="38">
        <v>0</v>
      </c>
      <c r="AB10" s="38">
        <v>0</v>
      </c>
      <c r="AC10" s="39">
        <f t="shared" si="3"/>
        <v>0</v>
      </c>
      <c r="AD10" s="45">
        <v>0</v>
      </c>
      <c r="AE10" s="28">
        <v>0</v>
      </c>
      <c r="AF10" s="41">
        <v>0</v>
      </c>
      <c r="AG10" s="32">
        <f t="shared" si="4"/>
        <v>0</v>
      </c>
      <c r="AH10" s="35">
        <v>0</v>
      </c>
      <c r="AI10" s="43">
        <v>0</v>
      </c>
      <c r="AJ10" s="35">
        <v>0</v>
      </c>
      <c r="AK10" s="43">
        <v>0</v>
      </c>
      <c r="AL10" s="44">
        <v>0</v>
      </c>
      <c r="AM10" s="38">
        <v>0</v>
      </c>
      <c r="AN10" s="38">
        <v>0</v>
      </c>
      <c r="AO10" s="39">
        <f t="shared" si="5"/>
        <v>0</v>
      </c>
      <c r="AP10" s="40">
        <f t="shared" si="6"/>
        <v>0</v>
      </c>
      <c r="AQ10" s="28">
        <v>0</v>
      </c>
      <c r="AR10" s="41">
        <v>0</v>
      </c>
      <c r="AS10" s="30">
        <f t="shared" si="7"/>
        <v>0</v>
      </c>
      <c r="AT10" s="30">
        <f t="shared" si="7"/>
        <v>0</v>
      </c>
      <c r="AU10" s="42">
        <f t="shared" si="8"/>
        <v>0</v>
      </c>
      <c r="AV10" s="33">
        <f t="shared" si="9"/>
        <v>0</v>
      </c>
      <c r="AW10" s="46">
        <f t="shared" si="9"/>
        <v>0</v>
      </c>
      <c r="AX10" s="33">
        <f t="shared" si="9"/>
        <v>0</v>
      </c>
      <c r="AY10" s="46">
        <f t="shared" si="9"/>
        <v>0</v>
      </c>
      <c r="AZ10" s="48">
        <f t="shared" si="10"/>
        <v>0</v>
      </c>
      <c r="BA10" s="49">
        <f t="shared" si="10"/>
        <v>0</v>
      </c>
      <c r="BB10" s="49">
        <f t="shared" si="10"/>
        <v>0</v>
      </c>
      <c r="BC10" s="50">
        <f t="shared" si="11"/>
        <v>0</v>
      </c>
      <c r="BD10" s="51"/>
    </row>
    <row r="11" spans="1:56" s="52" customFormat="1" ht="21.75" customHeight="1" x14ac:dyDescent="0.15">
      <c r="A11" s="53">
        <v>46146</v>
      </c>
      <c r="B11" s="27">
        <v>139233</v>
      </c>
      <c r="C11" s="28">
        <v>145000</v>
      </c>
      <c r="D11" s="29">
        <f>B11/C11</f>
        <v>0.96022758620689652</v>
      </c>
      <c r="E11" s="30">
        <v>193598</v>
      </c>
      <c r="F11" s="31">
        <v>251170</v>
      </c>
      <c r="G11" s="32">
        <f t="shared" ref="G11:G22" si="12">B11+E11+F11</f>
        <v>584001</v>
      </c>
      <c r="H11" s="33">
        <v>0</v>
      </c>
      <c r="I11" s="34">
        <v>0</v>
      </c>
      <c r="J11" s="35">
        <v>0</v>
      </c>
      <c r="K11" s="36">
        <v>0</v>
      </c>
      <c r="L11" s="37">
        <v>109109</v>
      </c>
      <c r="M11" s="38">
        <v>30124</v>
      </c>
      <c r="N11" s="38">
        <v>0</v>
      </c>
      <c r="O11" s="39">
        <f t="shared" ref="O11:O22" si="13">SUM(L11:N11)</f>
        <v>139233</v>
      </c>
      <c r="P11" s="40">
        <v>133446</v>
      </c>
      <c r="Q11" s="28">
        <v>70000</v>
      </c>
      <c r="R11" s="29">
        <f>P11/Q11</f>
        <v>1.9063714285714286</v>
      </c>
      <c r="S11" s="30">
        <v>47856</v>
      </c>
      <c r="T11" s="31">
        <v>12350</v>
      </c>
      <c r="U11" s="32">
        <f t="shared" ref="U11:U22" si="14">P11+S11+T11</f>
        <v>193652</v>
      </c>
      <c r="V11" s="33">
        <v>0</v>
      </c>
      <c r="W11" s="34">
        <v>0</v>
      </c>
      <c r="X11" s="35">
        <v>0</v>
      </c>
      <c r="Y11" s="36">
        <v>0</v>
      </c>
      <c r="Z11" s="37">
        <v>80454</v>
      </c>
      <c r="AA11" s="38">
        <v>19680</v>
      </c>
      <c r="AB11" s="38">
        <v>33312</v>
      </c>
      <c r="AC11" s="39">
        <f t="shared" ref="AC11:AC22" si="15">SUM(Z11:AB11)</f>
        <v>133446</v>
      </c>
      <c r="AD11" s="45">
        <v>85109</v>
      </c>
      <c r="AE11" s="28">
        <v>200000</v>
      </c>
      <c r="AF11" s="41">
        <f>AD11/AE11</f>
        <v>0.42554500000000001</v>
      </c>
      <c r="AG11" s="32">
        <f t="shared" ref="AG11:AG22" si="16">AD11</f>
        <v>85109</v>
      </c>
      <c r="AH11" s="35">
        <v>0</v>
      </c>
      <c r="AI11" s="43">
        <v>0</v>
      </c>
      <c r="AJ11" s="35">
        <v>29508</v>
      </c>
      <c r="AK11" s="43">
        <v>0</v>
      </c>
      <c r="AL11" s="44">
        <v>47856</v>
      </c>
      <c r="AM11" s="38">
        <f>31442+5811</f>
        <v>37253</v>
      </c>
      <c r="AN11" s="38">
        <v>0</v>
      </c>
      <c r="AO11" s="39">
        <f t="shared" ref="AO11:AO22" si="17">SUM(AL11:AN11)</f>
        <v>85109</v>
      </c>
      <c r="AP11" s="40">
        <f t="shared" ref="AP11:AP22" si="18">AD11+P11+B11</f>
        <v>357788</v>
      </c>
      <c r="AQ11" s="28">
        <v>415000</v>
      </c>
      <c r="AR11" s="41">
        <f>AP11/AQ11</f>
        <v>0.86213975903614459</v>
      </c>
      <c r="AS11" s="30">
        <f t="shared" ref="AS11:AS22" si="19">E11+S11</f>
        <v>241454</v>
      </c>
      <c r="AT11" s="30">
        <f t="shared" ref="AT11:AT22" si="20">F11+T11</f>
        <v>263520</v>
      </c>
      <c r="AU11" s="42">
        <f t="shared" ref="AU11:AU22" si="21">AP11+AS11+AT11</f>
        <v>862762</v>
      </c>
      <c r="AV11" s="33">
        <f t="shared" ref="AV11:AV22" si="22">SUM(H11,V11,AH11)</f>
        <v>0</v>
      </c>
      <c r="AW11" s="46">
        <f t="shared" ref="AW11:AW22" si="23">SUM(I11,W11,AI11)</f>
        <v>0</v>
      </c>
      <c r="AX11" s="33">
        <f t="shared" ref="AX11:AX22" si="24">SUM(J11,X11,AJ11)</f>
        <v>29508</v>
      </c>
      <c r="AY11" s="46">
        <f t="shared" ref="AY11:AY22" si="25">SUM(K11,Y11,AK11)</f>
        <v>0</v>
      </c>
      <c r="AZ11" s="48">
        <f t="shared" ref="AZ11:AZ22" si="26">L11+Z11+AL11</f>
        <v>237419</v>
      </c>
      <c r="BA11" s="49">
        <f t="shared" ref="BA11:BA22" si="27">M11+AA11+AM11</f>
        <v>87057</v>
      </c>
      <c r="BB11" s="49">
        <f t="shared" ref="BB11:BB22" si="28">N11+AB11+AN11</f>
        <v>33312</v>
      </c>
      <c r="BC11" s="50">
        <f t="shared" ref="BC11:BC22" si="29">SUM(AZ11:BB11)</f>
        <v>357788</v>
      </c>
      <c r="BD11" s="51">
        <v>0</v>
      </c>
    </row>
    <row r="12" spans="1:56" s="52" customFormat="1" ht="21.75" customHeight="1" x14ac:dyDescent="0.15">
      <c r="A12" s="26">
        <v>46147</v>
      </c>
      <c r="B12" s="27">
        <v>0</v>
      </c>
      <c r="C12" s="28">
        <v>0</v>
      </c>
      <c r="D12" s="29">
        <v>0</v>
      </c>
      <c r="E12" s="30">
        <v>0</v>
      </c>
      <c r="F12" s="31">
        <v>0</v>
      </c>
      <c r="G12" s="32">
        <f t="shared" si="12"/>
        <v>0</v>
      </c>
      <c r="H12" s="33">
        <v>0</v>
      </c>
      <c r="I12" s="34">
        <v>0</v>
      </c>
      <c r="J12" s="35">
        <v>0</v>
      </c>
      <c r="K12" s="36">
        <v>0</v>
      </c>
      <c r="L12" s="37">
        <v>0</v>
      </c>
      <c r="M12" s="38">
        <v>0</v>
      </c>
      <c r="N12" s="38">
        <v>0</v>
      </c>
      <c r="O12" s="39">
        <f t="shared" si="13"/>
        <v>0</v>
      </c>
      <c r="P12" s="40">
        <v>0</v>
      </c>
      <c r="Q12" s="28">
        <v>0</v>
      </c>
      <c r="R12" s="29">
        <v>0</v>
      </c>
      <c r="S12" s="30">
        <v>0</v>
      </c>
      <c r="T12" s="31">
        <v>0</v>
      </c>
      <c r="U12" s="32">
        <f t="shared" si="14"/>
        <v>0</v>
      </c>
      <c r="V12" s="33">
        <v>0</v>
      </c>
      <c r="W12" s="34">
        <v>0</v>
      </c>
      <c r="X12" s="35">
        <v>0</v>
      </c>
      <c r="Y12" s="36">
        <v>0</v>
      </c>
      <c r="Z12" s="37">
        <v>0</v>
      </c>
      <c r="AA12" s="38">
        <v>0</v>
      </c>
      <c r="AB12" s="38">
        <v>0</v>
      </c>
      <c r="AC12" s="39">
        <f t="shared" si="15"/>
        <v>0</v>
      </c>
      <c r="AD12" s="45">
        <v>0</v>
      </c>
      <c r="AE12" s="28">
        <v>0</v>
      </c>
      <c r="AF12" s="41">
        <v>0</v>
      </c>
      <c r="AG12" s="32">
        <f t="shared" si="16"/>
        <v>0</v>
      </c>
      <c r="AH12" s="35">
        <v>0</v>
      </c>
      <c r="AI12" s="43">
        <v>0</v>
      </c>
      <c r="AJ12" s="35">
        <v>0</v>
      </c>
      <c r="AK12" s="43">
        <v>0</v>
      </c>
      <c r="AL12" s="44">
        <v>0</v>
      </c>
      <c r="AM12" s="38">
        <v>0</v>
      </c>
      <c r="AN12" s="38">
        <v>0</v>
      </c>
      <c r="AO12" s="39">
        <f t="shared" si="17"/>
        <v>0</v>
      </c>
      <c r="AP12" s="40">
        <f t="shared" si="18"/>
        <v>0</v>
      </c>
      <c r="AQ12" s="28">
        <v>0</v>
      </c>
      <c r="AR12" s="41">
        <v>0</v>
      </c>
      <c r="AS12" s="30">
        <f t="shared" si="19"/>
        <v>0</v>
      </c>
      <c r="AT12" s="30">
        <f t="shared" si="20"/>
        <v>0</v>
      </c>
      <c r="AU12" s="42">
        <f t="shared" si="21"/>
        <v>0</v>
      </c>
      <c r="AV12" s="33">
        <f t="shared" si="22"/>
        <v>0</v>
      </c>
      <c r="AW12" s="46">
        <f t="shared" si="23"/>
        <v>0</v>
      </c>
      <c r="AX12" s="33">
        <f t="shared" si="24"/>
        <v>0</v>
      </c>
      <c r="AY12" s="46">
        <f t="shared" si="25"/>
        <v>0</v>
      </c>
      <c r="AZ12" s="48">
        <f t="shared" si="26"/>
        <v>0</v>
      </c>
      <c r="BA12" s="49">
        <f t="shared" si="27"/>
        <v>0</v>
      </c>
      <c r="BB12" s="49">
        <f t="shared" si="28"/>
        <v>0</v>
      </c>
      <c r="BC12" s="50">
        <f t="shared" si="29"/>
        <v>0</v>
      </c>
      <c r="BD12" s="51"/>
    </row>
    <row r="13" spans="1:56" s="52" customFormat="1" ht="21.75" customHeight="1" x14ac:dyDescent="0.15">
      <c r="A13" s="53">
        <v>46148</v>
      </c>
      <c r="B13" s="27">
        <v>170880</v>
      </c>
      <c r="C13" s="28">
        <v>145000</v>
      </c>
      <c r="D13" s="29">
        <f>B13/C13</f>
        <v>1.1784827586206896</v>
      </c>
      <c r="E13" s="30">
        <v>0</v>
      </c>
      <c r="F13" s="31">
        <v>289200</v>
      </c>
      <c r="G13" s="32">
        <f t="shared" si="12"/>
        <v>460080</v>
      </c>
      <c r="H13" s="33">
        <v>0</v>
      </c>
      <c r="I13" s="34">
        <v>0</v>
      </c>
      <c r="J13" s="35">
        <v>0</v>
      </c>
      <c r="K13" s="36">
        <v>0</v>
      </c>
      <c r="L13" s="37">
        <v>143629</v>
      </c>
      <c r="M13" s="38">
        <v>9741</v>
      </c>
      <c r="N13" s="38">
        <v>17510</v>
      </c>
      <c r="O13" s="39">
        <f t="shared" si="13"/>
        <v>170880</v>
      </c>
      <c r="P13" s="40">
        <v>123095</v>
      </c>
      <c r="Q13" s="28">
        <v>70000</v>
      </c>
      <c r="R13" s="29">
        <f>P13/Q13</f>
        <v>1.7585</v>
      </c>
      <c r="S13" s="30">
        <v>0</v>
      </c>
      <c r="T13" s="31">
        <v>80400</v>
      </c>
      <c r="U13" s="32">
        <f t="shared" si="14"/>
        <v>203495</v>
      </c>
      <c r="V13" s="33">
        <v>0</v>
      </c>
      <c r="W13" s="34">
        <v>0</v>
      </c>
      <c r="X13" s="35">
        <v>0</v>
      </c>
      <c r="Y13" s="36">
        <v>0</v>
      </c>
      <c r="Z13" s="37">
        <v>123095</v>
      </c>
      <c r="AA13" s="38">
        <v>0</v>
      </c>
      <c r="AB13" s="38">
        <v>0</v>
      </c>
      <c r="AC13" s="39">
        <f t="shared" si="15"/>
        <v>123095</v>
      </c>
      <c r="AD13" s="45">
        <v>202520</v>
      </c>
      <c r="AE13" s="28">
        <v>200000</v>
      </c>
      <c r="AF13" s="41">
        <f>AD13/AE13</f>
        <v>1.0125999999999999</v>
      </c>
      <c r="AG13" s="32">
        <f t="shared" si="16"/>
        <v>202520</v>
      </c>
      <c r="AH13" s="35">
        <v>0</v>
      </c>
      <c r="AI13" s="43">
        <v>0</v>
      </c>
      <c r="AJ13" s="35">
        <v>4755</v>
      </c>
      <c r="AK13" s="43">
        <v>0</v>
      </c>
      <c r="AL13" s="44">
        <v>152676</v>
      </c>
      <c r="AM13" s="38">
        <v>40922</v>
      </c>
      <c r="AN13" s="38">
        <v>8922</v>
      </c>
      <c r="AO13" s="39">
        <f t="shared" si="17"/>
        <v>202520</v>
      </c>
      <c r="AP13" s="40">
        <f t="shared" si="18"/>
        <v>496495</v>
      </c>
      <c r="AQ13" s="28">
        <v>415000</v>
      </c>
      <c r="AR13" s="41">
        <f>AP13/AQ13</f>
        <v>1.1963734939759036</v>
      </c>
      <c r="AS13" s="30">
        <f t="shared" si="19"/>
        <v>0</v>
      </c>
      <c r="AT13" s="30">
        <f t="shared" si="20"/>
        <v>369600</v>
      </c>
      <c r="AU13" s="42">
        <f t="shared" si="21"/>
        <v>866095</v>
      </c>
      <c r="AV13" s="33">
        <f t="shared" si="22"/>
        <v>0</v>
      </c>
      <c r="AW13" s="46">
        <f t="shared" si="23"/>
        <v>0</v>
      </c>
      <c r="AX13" s="33">
        <f t="shared" si="24"/>
        <v>4755</v>
      </c>
      <c r="AY13" s="47">
        <f t="shared" si="25"/>
        <v>0</v>
      </c>
      <c r="AZ13" s="48">
        <f t="shared" si="26"/>
        <v>419400</v>
      </c>
      <c r="BA13" s="49">
        <f t="shared" si="27"/>
        <v>50663</v>
      </c>
      <c r="BB13" s="49">
        <f t="shared" si="28"/>
        <v>26432</v>
      </c>
      <c r="BC13" s="50">
        <f t="shared" si="29"/>
        <v>496495</v>
      </c>
      <c r="BD13" s="51"/>
    </row>
    <row r="14" spans="1:56" s="52" customFormat="1" ht="21.75" customHeight="1" x14ac:dyDescent="0.15">
      <c r="A14" s="53">
        <v>46149</v>
      </c>
      <c r="B14" s="27">
        <v>30319</v>
      </c>
      <c r="C14" s="28">
        <v>145000</v>
      </c>
      <c r="D14" s="29">
        <f>B14/C14</f>
        <v>0.20909655172413794</v>
      </c>
      <c r="E14" s="30">
        <v>50168</v>
      </c>
      <c r="F14" s="31">
        <v>0</v>
      </c>
      <c r="G14" s="32">
        <f t="shared" si="12"/>
        <v>80487</v>
      </c>
      <c r="H14" s="33">
        <v>0</v>
      </c>
      <c r="I14" s="34">
        <v>0</v>
      </c>
      <c r="J14" s="35">
        <v>0</v>
      </c>
      <c r="K14" s="36">
        <v>0</v>
      </c>
      <c r="L14" s="37">
        <v>30319</v>
      </c>
      <c r="M14" s="38">
        <v>0</v>
      </c>
      <c r="N14" s="38">
        <v>0</v>
      </c>
      <c r="O14" s="39">
        <f t="shared" si="13"/>
        <v>30319</v>
      </c>
      <c r="P14" s="40">
        <v>134968</v>
      </c>
      <c r="Q14" s="28">
        <v>70000</v>
      </c>
      <c r="R14" s="29">
        <f>P14/Q14</f>
        <v>1.9281142857142857</v>
      </c>
      <c r="S14" s="30">
        <v>58048</v>
      </c>
      <c r="T14" s="31">
        <v>0</v>
      </c>
      <c r="U14" s="32">
        <f t="shared" si="14"/>
        <v>193016</v>
      </c>
      <c r="V14" s="33">
        <v>0</v>
      </c>
      <c r="W14" s="34">
        <v>0</v>
      </c>
      <c r="X14" s="35">
        <v>0</v>
      </c>
      <c r="Y14" s="36">
        <v>0</v>
      </c>
      <c r="Z14" s="37">
        <v>134968</v>
      </c>
      <c r="AA14" s="38">
        <v>0</v>
      </c>
      <c r="AB14" s="38">
        <v>0</v>
      </c>
      <c r="AC14" s="39">
        <f t="shared" si="15"/>
        <v>134968</v>
      </c>
      <c r="AD14" s="45">
        <v>54071</v>
      </c>
      <c r="AE14" s="28">
        <v>200000</v>
      </c>
      <c r="AF14" s="41">
        <f>AD14/AE14</f>
        <v>0.27035500000000001</v>
      </c>
      <c r="AG14" s="32">
        <f t="shared" si="16"/>
        <v>54071</v>
      </c>
      <c r="AH14" s="35">
        <v>0</v>
      </c>
      <c r="AI14" s="43">
        <v>0</v>
      </c>
      <c r="AJ14" s="35">
        <v>6653</v>
      </c>
      <c r="AK14" s="43">
        <v>0</v>
      </c>
      <c r="AL14" s="44">
        <v>0</v>
      </c>
      <c r="AM14" s="38">
        <v>54071</v>
      </c>
      <c r="AN14" s="38">
        <v>0</v>
      </c>
      <c r="AO14" s="39">
        <f t="shared" si="17"/>
        <v>54071</v>
      </c>
      <c r="AP14" s="40">
        <f t="shared" si="18"/>
        <v>219358</v>
      </c>
      <c r="AQ14" s="28">
        <v>415000</v>
      </c>
      <c r="AR14" s="41">
        <f>AP14/AQ14</f>
        <v>0.52857349397590359</v>
      </c>
      <c r="AS14" s="30">
        <f t="shared" si="19"/>
        <v>108216</v>
      </c>
      <c r="AT14" s="30">
        <f t="shared" si="20"/>
        <v>0</v>
      </c>
      <c r="AU14" s="42">
        <f t="shared" si="21"/>
        <v>327574</v>
      </c>
      <c r="AV14" s="33">
        <f t="shared" si="22"/>
        <v>0</v>
      </c>
      <c r="AW14" s="46">
        <f t="shared" si="23"/>
        <v>0</v>
      </c>
      <c r="AX14" s="33">
        <f t="shared" si="24"/>
        <v>6653</v>
      </c>
      <c r="AY14" s="46">
        <f t="shared" si="25"/>
        <v>0</v>
      </c>
      <c r="AZ14" s="48">
        <f t="shared" si="26"/>
        <v>165287</v>
      </c>
      <c r="BA14" s="49">
        <f t="shared" si="27"/>
        <v>54071</v>
      </c>
      <c r="BB14" s="49">
        <f t="shared" si="28"/>
        <v>0</v>
      </c>
      <c r="BC14" s="50">
        <f t="shared" si="29"/>
        <v>219358</v>
      </c>
      <c r="BD14" s="51"/>
    </row>
    <row r="15" spans="1:56" s="52" customFormat="1" ht="21.75" customHeight="1" x14ac:dyDescent="0.15">
      <c r="A15" s="53">
        <v>46150</v>
      </c>
      <c r="B15" s="27">
        <v>163699</v>
      </c>
      <c r="C15" s="28">
        <v>145000</v>
      </c>
      <c r="D15" s="29">
        <f>B15/C15</f>
        <v>1.1289586206896551</v>
      </c>
      <c r="E15" s="30">
        <v>90849</v>
      </c>
      <c r="F15" s="31">
        <v>322700</v>
      </c>
      <c r="G15" s="32">
        <f t="shared" si="12"/>
        <v>577248</v>
      </c>
      <c r="H15" s="33">
        <v>0</v>
      </c>
      <c r="I15" s="34">
        <v>0</v>
      </c>
      <c r="J15" s="35">
        <v>0</v>
      </c>
      <c r="K15" s="36">
        <v>0</v>
      </c>
      <c r="L15" s="37">
        <v>163699</v>
      </c>
      <c r="M15" s="38">
        <v>0</v>
      </c>
      <c r="N15" s="38">
        <v>0</v>
      </c>
      <c r="O15" s="39">
        <f t="shared" si="13"/>
        <v>163699</v>
      </c>
      <c r="P15" s="40">
        <v>164015</v>
      </c>
      <c r="Q15" s="28">
        <v>70000</v>
      </c>
      <c r="R15" s="29">
        <f>P15/Q15</f>
        <v>2.3430714285714287</v>
      </c>
      <c r="S15" s="30">
        <v>0</v>
      </c>
      <c r="T15" s="31">
        <v>0</v>
      </c>
      <c r="U15" s="32">
        <f t="shared" si="14"/>
        <v>164015</v>
      </c>
      <c r="V15" s="33">
        <v>0</v>
      </c>
      <c r="W15" s="34">
        <v>0</v>
      </c>
      <c r="X15" s="35">
        <v>0</v>
      </c>
      <c r="Y15" s="36">
        <v>0</v>
      </c>
      <c r="Z15" s="37">
        <v>102863</v>
      </c>
      <c r="AA15" s="38">
        <v>61152</v>
      </c>
      <c r="AB15" s="38">
        <v>0</v>
      </c>
      <c r="AC15" s="39">
        <f t="shared" si="15"/>
        <v>164015</v>
      </c>
      <c r="AD15" s="45">
        <v>50168</v>
      </c>
      <c r="AE15" s="28">
        <v>200000</v>
      </c>
      <c r="AF15" s="41">
        <f>AD15/AE15</f>
        <v>0.25084000000000001</v>
      </c>
      <c r="AG15" s="32">
        <f t="shared" si="16"/>
        <v>50168</v>
      </c>
      <c r="AH15" s="35">
        <v>0</v>
      </c>
      <c r="AI15" s="43">
        <v>0</v>
      </c>
      <c r="AJ15" s="35">
        <v>0</v>
      </c>
      <c r="AK15" s="43">
        <v>0</v>
      </c>
      <c r="AL15" s="44">
        <v>50168</v>
      </c>
      <c r="AM15" s="38">
        <v>0</v>
      </c>
      <c r="AN15" s="38">
        <v>0</v>
      </c>
      <c r="AO15" s="39">
        <f t="shared" si="17"/>
        <v>50168</v>
      </c>
      <c r="AP15" s="40">
        <f t="shared" si="18"/>
        <v>377882</v>
      </c>
      <c r="AQ15" s="28">
        <v>415000</v>
      </c>
      <c r="AR15" s="41">
        <f>AP15/AQ15</f>
        <v>0.91055903614457834</v>
      </c>
      <c r="AS15" s="30">
        <f t="shared" si="19"/>
        <v>90849</v>
      </c>
      <c r="AT15" s="30">
        <f t="shared" si="20"/>
        <v>322700</v>
      </c>
      <c r="AU15" s="42">
        <f t="shared" si="21"/>
        <v>791431</v>
      </c>
      <c r="AV15" s="33">
        <f t="shared" si="22"/>
        <v>0</v>
      </c>
      <c r="AW15" s="46">
        <f t="shared" si="23"/>
        <v>0</v>
      </c>
      <c r="AX15" s="33">
        <f t="shared" si="24"/>
        <v>0</v>
      </c>
      <c r="AY15" s="46">
        <f t="shared" si="25"/>
        <v>0</v>
      </c>
      <c r="AZ15" s="48">
        <f t="shared" si="26"/>
        <v>316730</v>
      </c>
      <c r="BA15" s="49">
        <f t="shared" si="27"/>
        <v>61152</v>
      </c>
      <c r="BB15" s="49">
        <f t="shared" si="28"/>
        <v>0</v>
      </c>
      <c r="BC15" s="50">
        <f t="shared" si="29"/>
        <v>377882</v>
      </c>
      <c r="BD15" s="51"/>
    </row>
    <row r="16" spans="1:56" s="52" customFormat="1" ht="21.75" customHeight="1" x14ac:dyDescent="0.15">
      <c r="A16" s="26">
        <v>46151</v>
      </c>
      <c r="B16" s="27">
        <v>0</v>
      </c>
      <c r="C16" s="28">
        <v>0</v>
      </c>
      <c r="D16" s="29">
        <v>0</v>
      </c>
      <c r="E16" s="30">
        <v>0</v>
      </c>
      <c r="F16" s="31">
        <v>0</v>
      </c>
      <c r="G16" s="32">
        <f t="shared" si="12"/>
        <v>0</v>
      </c>
      <c r="H16" s="33">
        <v>0</v>
      </c>
      <c r="I16" s="34">
        <v>0</v>
      </c>
      <c r="J16" s="35">
        <v>0</v>
      </c>
      <c r="K16" s="36">
        <v>0</v>
      </c>
      <c r="L16" s="37">
        <v>0</v>
      </c>
      <c r="M16" s="38">
        <v>0</v>
      </c>
      <c r="N16" s="38">
        <v>0</v>
      </c>
      <c r="O16" s="39">
        <f t="shared" si="13"/>
        <v>0</v>
      </c>
      <c r="P16" s="40">
        <v>0</v>
      </c>
      <c r="Q16" s="28">
        <v>0</v>
      </c>
      <c r="R16" s="29">
        <v>0</v>
      </c>
      <c r="S16" s="30">
        <v>0</v>
      </c>
      <c r="T16" s="31">
        <v>0</v>
      </c>
      <c r="U16" s="32">
        <f t="shared" si="14"/>
        <v>0</v>
      </c>
      <c r="V16" s="33">
        <v>0</v>
      </c>
      <c r="W16" s="34">
        <v>0</v>
      </c>
      <c r="X16" s="35">
        <v>0</v>
      </c>
      <c r="Y16" s="36">
        <v>0</v>
      </c>
      <c r="Z16" s="37">
        <v>0</v>
      </c>
      <c r="AA16" s="38">
        <v>0</v>
      </c>
      <c r="AB16" s="38">
        <v>0</v>
      </c>
      <c r="AC16" s="39">
        <f t="shared" si="15"/>
        <v>0</v>
      </c>
      <c r="AD16" s="45">
        <v>0</v>
      </c>
      <c r="AE16" s="28">
        <v>0</v>
      </c>
      <c r="AF16" s="41">
        <v>0</v>
      </c>
      <c r="AG16" s="32">
        <f t="shared" si="16"/>
        <v>0</v>
      </c>
      <c r="AH16" s="35">
        <v>0</v>
      </c>
      <c r="AI16" s="43">
        <v>0</v>
      </c>
      <c r="AJ16" s="35">
        <v>0</v>
      </c>
      <c r="AK16" s="43">
        <v>0</v>
      </c>
      <c r="AL16" s="44">
        <v>0</v>
      </c>
      <c r="AM16" s="38">
        <v>0</v>
      </c>
      <c r="AN16" s="38">
        <v>0</v>
      </c>
      <c r="AO16" s="39">
        <f t="shared" si="17"/>
        <v>0</v>
      </c>
      <c r="AP16" s="40">
        <f t="shared" si="18"/>
        <v>0</v>
      </c>
      <c r="AQ16" s="28">
        <v>0</v>
      </c>
      <c r="AR16" s="41">
        <v>0</v>
      </c>
      <c r="AS16" s="30">
        <f t="shared" si="19"/>
        <v>0</v>
      </c>
      <c r="AT16" s="30">
        <f t="shared" si="20"/>
        <v>0</v>
      </c>
      <c r="AU16" s="42">
        <f t="shared" si="21"/>
        <v>0</v>
      </c>
      <c r="AV16" s="33">
        <f t="shared" si="22"/>
        <v>0</v>
      </c>
      <c r="AW16" s="46">
        <f t="shared" si="23"/>
        <v>0</v>
      </c>
      <c r="AX16" s="33">
        <f t="shared" si="24"/>
        <v>0</v>
      </c>
      <c r="AY16" s="46">
        <f t="shared" si="25"/>
        <v>0</v>
      </c>
      <c r="AZ16" s="48">
        <f t="shared" si="26"/>
        <v>0</v>
      </c>
      <c r="BA16" s="49">
        <f t="shared" si="27"/>
        <v>0</v>
      </c>
      <c r="BB16" s="49">
        <f t="shared" si="28"/>
        <v>0</v>
      </c>
      <c r="BC16" s="50">
        <f t="shared" si="29"/>
        <v>0</v>
      </c>
      <c r="BD16" s="51"/>
    </row>
    <row r="17" spans="1:56" s="52" customFormat="1" ht="21.75" customHeight="1" x14ac:dyDescent="0.15">
      <c r="A17" s="26">
        <v>46152</v>
      </c>
      <c r="B17" s="27">
        <v>0</v>
      </c>
      <c r="C17" s="28">
        <v>0</v>
      </c>
      <c r="D17" s="29">
        <v>0</v>
      </c>
      <c r="E17" s="30">
        <v>0</v>
      </c>
      <c r="F17" s="31">
        <v>0</v>
      </c>
      <c r="G17" s="32">
        <f t="shared" si="12"/>
        <v>0</v>
      </c>
      <c r="H17" s="33">
        <v>0</v>
      </c>
      <c r="I17" s="34">
        <v>0</v>
      </c>
      <c r="J17" s="35">
        <v>0</v>
      </c>
      <c r="K17" s="36">
        <v>0</v>
      </c>
      <c r="L17" s="37">
        <v>0</v>
      </c>
      <c r="M17" s="38">
        <v>0</v>
      </c>
      <c r="N17" s="38">
        <v>0</v>
      </c>
      <c r="O17" s="39">
        <f t="shared" si="13"/>
        <v>0</v>
      </c>
      <c r="P17" s="40">
        <v>0</v>
      </c>
      <c r="Q17" s="28">
        <v>0</v>
      </c>
      <c r="R17" s="29">
        <v>0</v>
      </c>
      <c r="S17" s="30">
        <v>0</v>
      </c>
      <c r="T17" s="31">
        <v>0</v>
      </c>
      <c r="U17" s="32">
        <f t="shared" si="14"/>
        <v>0</v>
      </c>
      <c r="V17" s="33">
        <v>0</v>
      </c>
      <c r="W17" s="34">
        <v>0</v>
      </c>
      <c r="X17" s="35">
        <v>0</v>
      </c>
      <c r="Y17" s="36">
        <v>0</v>
      </c>
      <c r="Z17" s="37">
        <v>0</v>
      </c>
      <c r="AA17" s="38">
        <v>0</v>
      </c>
      <c r="AB17" s="38">
        <v>0</v>
      </c>
      <c r="AC17" s="39">
        <f t="shared" si="15"/>
        <v>0</v>
      </c>
      <c r="AD17" s="45">
        <v>0</v>
      </c>
      <c r="AE17" s="28">
        <v>0</v>
      </c>
      <c r="AF17" s="41">
        <v>0</v>
      </c>
      <c r="AG17" s="32">
        <f t="shared" si="16"/>
        <v>0</v>
      </c>
      <c r="AH17" s="35">
        <v>0</v>
      </c>
      <c r="AI17" s="43">
        <v>0</v>
      </c>
      <c r="AJ17" s="35">
        <v>0</v>
      </c>
      <c r="AK17" s="43">
        <v>0</v>
      </c>
      <c r="AL17" s="44">
        <v>0</v>
      </c>
      <c r="AM17" s="38">
        <v>0</v>
      </c>
      <c r="AN17" s="38">
        <v>0</v>
      </c>
      <c r="AO17" s="39">
        <f t="shared" si="17"/>
        <v>0</v>
      </c>
      <c r="AP17" s="40">
        <f t="shared" si="18"/>
        <v>0</v>
      </c>
      <c r="AQ17" s="28">
        <v>0</v>
      </c>
      <c r="AR17" s="41">
        <v>0</v>
      </c>
      <c r="AS17" s="30">
        <f t="shared" si="19"/>
        <v>0</v>
      </c>
      <c r="AT17" s="30">
        <f t="shared" si="20"/>
        <v>0</v>
      </c>
      <c r="AU17" s="42">
        <f t="shared" si="21"/>
        <v>0</v>
      </c>
      <c r="AV17" s="33">
        <f t="shared" si="22"/>
        <v>0</v>
      </c>
      <c r="AW17" s="46">
        <f t="shared" si="23"/>
        <v>0</v>
      </c>
      <c r="AX17" s="33">
        <f t="shared" si="24"/>
        <v>0</v>
      </c>
      <c r="AY17" s="46">
        <f t="shared" si="25"/>
        <v>0</v>
      </c>
      <c r="AZ17" s="48">
        <f t="shared" si="26"/>
        <v>0</v>
      </c>
      <c r="BA17" s="49">
        <f t="shared" si="27"/>
        <v>0</v>
      </c>
      <c r="BB17" s="49">
        <f t="shared" si="28"/>
        <v>0</v>
      </c>
      <c r="BC17" s="50">
        <f t="shared" si="29"/>
        <v>0</v>
      </c>
      <c r="BD17" s="51"/>
    </row>
    <row r="18" spans="1:56" s="52" customFormat="1" ht="21.75" customHeight="1" x14ac:dyDescent="0.15">
      <c r="A18" s="53">
        <v>46153</v>
      </c>
      <c r="B18" s="27">
        <v>154226</v>
      </c>
      <c r="C18" s="28">
        <v>145000</v>
      </c>
      <c r="D18" s="29">
        <f>B18/C18</f>
        <v>1.0636275862068965</v>
      </c>
      <c r="E18" s="30">
        <v>12422</v>
      </c>
      <c r="F18" s="31">
        <v>195950</v>
      </c>
      <c r="G18" s="32">
        <f t="shared" si="12"/>
        <v>362598</v>
      </c>
      <c r="H18" s="33">
        <v>0</v>
      </c>
      <c r="I18" s="34">
        <v>0</v>
      </c>
      <c r="J18" s="35">
        <v>0</v>
      </c>
      <c r="K18" s="36">
        <v>0</v>
      </c>
      <c r="L18" s="37">
        <v>75234</v>
      </c>
      <c r="M18" s="38">
        <v>78992</v>
      </c>
      <c r="N18" s="38">
        <v>0</v>
      </c>
      <c r="O18" s="39">
        <f t="shared" si="13"/>
        <v>154226</v>
      </c>
      <c r="P18" s="40">
        <v>147258</v>
      </c>
      <c r="Q18" s="28">
        <v>70000</v>
      </c>
      <c r="R18" s="29">
        <f>P18/Q18</f>
        <v>2.1036857142857142</v>
      </c>
      <c r="S18" s="30">
        <v>33822</v>
      </c>
      <c r="T18" s="31">
        <v>0</v>
      </c>
      <c r="U18" s="32">
        <f t="shared" si="14"/>
        <v>181080</v>
      </c>
      <c r="V18" s="33">
        <v>0</v>
      </c>
      <c r="W18" s="34">
        <v>0</v>
      </c>
      <c r="X18" s="35">
        <v>0</v>
      </c>
      <c r="Y18" s="36">
        <v>0</v>
      </c>
      <c r="Z18" s="37">
        <v>80574</v>
      </c>
      <c r="AA18" s="38">
        <v>66684</v>
      </c>
      <c r="AB18" s="38">
        <v>0</v>
      </c>
      <c r="AC18" s="39">
        <f t="shared" si="15"/>
        <v>147258</v>
      </c>
      <c r="AD18" s="45">
        <v>107248</v>
      </c>
      <c r="AE18" s="28">
        <v>200000</v>
      </c>
      <c r="AF18" s="41">
        <f>AD18/AE18</f>
        <v>0.53624000000000005</v>
      </c>
      <c r="AG18" s="32">
        <f t="shared" si="16"/>
        <v>107248</v>
      </c>
      <c r="AH18" s="35">
        <v>0</v>
      </c>
      <c r="AI18" s="43">
        <v>0</v>
      </c>
      <c r="AJ18" s="35">
        <f>74746+4984</f>
        <v>79730</v>
      </c>
      <c r="AK18" s="43">
        <v>0</v>
      </c>
      <c r="AL18" s="44">
        <v>103271</v>
      </c>
      <c r="AM18" s="38">
        <v>0</v>
      </c>
      <c r="AN18" s="38">
        <v>3977</v>
      </c>
      <c r="AO18" s="39">
        <f t="shared" si="17"/>
        <v>107248</v>
      </c>
      <c r="AP18" s="40">
        <f t="shared" si="18"/>
        <v>408732</v>
      </c>
      <c r="AQ18" s="28">
        <v>415000</v>
      </c>
      <c r="AR18" s="41">
        <f t="shared" ref="AR18:AR22" si="30">AP18/AQ18</f>
        <v>0.98489638554216863</v>
      </c>
      <c r="AS18" s="30">
        <f t="shared" si="19"/>
        <v>46244</v>
      </c>
      <c r="AT18" s="30">
        <f t="shared" si="20"/>
        <v>195950</v>
      </c>
      <c r="AU18" s="42">
        <f t="shared" si="21"/>
        <v>650926</v>
      </c>
      <c r="AV18" s="33">
        <f t="shared" si="22"/>
        <v>0</v>
      </c>
      <c r="AW18" s="46">
        <f t="shared" si="23"/>
        <v>0</v>
      </c>
      <c r="AX18" s="33">
        <f t="shared" si="24"/>
        <v>79730</v>
      </c>
      <c r="AY18" s="46">
        <f t="shared" si="25"/>
        <v>0</v>
      </c>
      <c r="AZ18" s="48">
        <f t="shared" si="26"/>
        <v>259079</v>
      </c>
      <c r="BA18" s="49">
        <f t="shared" si="27"/>
        <v>145676</v>
      </c>
      <c r="BB18" s="49">
        <f t="shared" si="28"/>
        <v>3977</v>
      </c>
      <c r="BC18" s="50">
        <f t="shared" si="29"/>
        <v>408732</v>
      </c>
      <c r="BD18" s="51"/>
    </row>
    <row r="19" spans="1:56" s="52" customFormat="1" ht="21.75" customHeight="1" x14ac:dyDescent="0.15">
      <c r="A19" s="53">
        <v>46154</v>
      </c>
      <c r="B19" s="27">
        <v>0</v>
      </c>
      <c r="C19" s="28">
        <v>145000</v>
      </c>
      <c r="D19" s="29">
        <f>B19/C19</f>
        <v>0</v>
      </c>
      <c r="E19" s="30">
        <v>287554</v>
      </c>
      <c r="F19" s="31">
        <v>94700</v>
      </c>
      <c r="G19" s="32">
        <f t="shared" si="12"/>
        <v>382254</v>
      </c>
      <c r="H19" s="33">
        <v>0</v>
      </c>
      <c r="I19" s="34">
        <v>0</v>
      </c>
      <c r="J19" s="35">
        <v>0</v>
      </c>
      <c r="K19" s="36">
        <v>136847</v>
      </c>
      <c r="L19" s="37">
        <v>0</v>
      </c>
      <c r="M19" s="38">
        <v>0</v>
      </c>
      <c r="N19" s="38">
        <v>0</v>
      </c>
      <c r="O19" s="39">
        <f t="shared" si="13"/>
        <v>0</v>
      </c>
      <c r="P19" s="40">
        <v>74406</v>
      </c>
      <c r="Q19" s="28">
        <v>70000</v>
      </c>
      <c r="R19" s="29">
        <f>P19/Q19</f>
        <v>1.0629428571428572</v>
      </c>
      <c r="S19" s="30">
        <v>0</v>
      </c>
      <c r="T19" s="31">
        <v>0</v>
      </c>
      <c r="U19" s="32">
        <f t="shared" si="14"/>
        <v>74406</v>
      </c>
      <c r="V19" s="33">
        <v>0</v>
      </c>
      <c r="W19" s="34">
        <v>0</v>
      </c>
      <c r="X19" s="35">
        <v>0</v>
      </c>
      <c r="Y19" s="36">
        <v>0</v>
      </c>
      <c r="Z19" s="37">
        <v>74406</v>
      </c>
      <c r="AA19" s="38">
        <v>0</v>
      </c>
      <c r="AB19" s="38">
        <v>0</v>
      </c>
      <c r="AC19" s="39">
        <f t="shared" si="15"/>
        <v>74406</v>
      </c>
      <c r="AD19" s="45">
        <v>50522</v>
      </c>
      <c r="AE19" s="28">
        <v>200000</v>
      </c>
      <c r="AF19" s="41">
        <f>AD19/AE19</f>
        <v>0.25261</v>
      </c>
      <c r="AG19" s="32">
        <f t="shared" si="16"/>
        <v>50522</v>
      </c>
      <c r="AH19" s="35">
        <v>0</v>
      </c>
      <c r="AI19" s="43">
        <v>0</v>
      </c>
      <c r="AJ19" s="35">
        <v>0</v>
      </c>
      <c r="AK19" s="43">
        <v>27470</v>
      </c>
      <c r="AL19" s="44">
        <v>50522</v>
      </c>
      <c r="AM19" s="38">
        <v>0</v>
      </c>
      <c r="AN19" s="38">
        <v>0</v>
      </c>
      <c r="AO19" s="39">
        <f t="shared" si="17"/>
        <v>50522</v>
      </c>
      <c r="AP19" s="40">
        <f t="shared" si="18"/>
        <v>124928</v>
      </c>
      <c r="AQ19" s="28">
        <v>415000</v>
      </c>
      <c r="AR19" s="41">
        <f t="shared" si="30"/>
        <v>0.3010313253012048</v>
      </c>
      <c r="AS19" s="30">
        <f t="shared" si="19"/>
        <v>287554</v>
      </c>
      <c r="AT19" s="30">
        <f t="shared" si="20"/>
        <v>94700</v>
      </c>
      <c r="AU19" s="42">
        <f t="shared" si="21"/>
        <v>507182</v>
      </c>
      <c r="AV19" s="33">
        <f t="shared" si="22"/>
        <v>0</v>
      </c>
      <c r="AW19" s="46">
        <f t="shared" si="23"/>
        <v>0</v>
      </c>
      <c r="AX19" s="33">
        <f t="shared" si="24"/>
        <v>0</v>
      </c>
      <c r="AY19" s="46">
        <f t="shared" si="25"/>
        <v>164317</v>
      </c>
      <c r="AZ19" s="48">
        <f t="shared" si="26"/>
        <v>124928</v>
      </c>
      <c r="BA19" s="49">
        <f t="shared" si="27"/>
        <v>0</v>
      </c>
      <c r="BB19" s="49">
        <f t="shared" si="28"/>
        <v>0</v>
      </c>
      <c r="BC19" s="50">
        <f t="shared" si="29"/>
        <v>124928</v>
      </c>
      <c r="BD19" s="51"/>
    </row>
    <row r="20" spans="1:56" s="52" customFormat="1" ht="21.75" customHeight="1" x14ac:dyDescent="0.15">
      <c r="A20" s="53">
        <v>46155</v>
      </c>
      <c r="B20" s="27">
        <v>180901</v>
      </c>
      <c r="C20" s="28">
        <v>145000</v>
      </c>
      <c r="D20" s="29">
        <f>B20/C20</f>
        <v>1.2475931034482759</v>
      </c>
      <c r="E20" s="30">
        <v>161072</v>
      </c>
      <c r="F20" s="31">
        <v>192800</v>
      </c>
      <c r="G20" s="32">
        <f t="shared" si="12"/>
        <v>534773</v>
      </c>
      <c r="H20" s="33">
        <v>0</v>
      </c>
      <c r="I20" s="34">
        <v>0</v>
      </c>
      <c r="J20" s="35">
        <v>20787</v>
      </c>
      <c r="K20" s="36">
        <v>0</v>
      </c>
      <c r="L20" s="37">
        <v>45898</v>
      </c>
      <c r="M20" s="38">
        <v>104678</v>
      </c>
      <c r="N20" s="38">
        <v>30325</v>
      </c>
      <c r="O20" s="39">
        <f t="shared" si="13"/>
        <v>180901</v>
      </c>
      <c r="P20" s="40">
        <v>83679</v>
      </c>
      <c r="Q20" s="28">
        <v>70000</v>
      </c>
      <c r="R20" s="29">
        <f>P20/Q20</f>
        <v>1.1954142857142858</v>
      </c>
      <c r="S20" s="30">
        <v>5140</v>
      </c>
      <c r="T20" s="31">
        <v>0</v>
      </c>
      <c r="U20" s="32">
        <f t="shared" si="14"/>
        <v>88819</v>
      </c>
      <c r="V20" s="33">
        <v>0</v>
      </c>
      <c r="W20" s="34">
        <v>0</v>
      </c>
      <c r="X20" s="35">
        <v>0</v>
      </c>
      <c r="Y20" s="36">
        <v>0</v>
      </c>
      <c r="Z20" s="37">
        <v>30788</v>
      </c>
      <c r="AA20" s="38">
        <v>52891</v>
      </c>
      <c r="AB20" s="38">
        <v>0</v>
      </c>
      <c r="AC20" s="39">
        <f t="shared" si="15"/>
        <v>83679</v>
      </c>
      <c r="AD20" s="45">
        <v>237032</v>
      </c>
      <c r="AE20" s="28">
        <v>200000</v>
      </c>
      <c r="AF20" s="41">
        <f>AD20/AE20</f>
        <v>1.18516</v>
      </c>
      <c r="AG20" s="32">
        <f t="shared" si="16"/>
        <v>237032</v>
      </c>
      <c r="AH20" s="35">
        <v>0</v>
      </c>
      <c r="AI20" s="43">
        <v>0</v>
      </c>
      <c r="AJ20" s="35">
        <v>0</v>
      </c>
      <c r="AK20" s="43">
        <v>0</v>
      </c>
      <c r="AL20" s="44">
        <v>237032</v>
      </c>
      <c r="AM20" s="38">
        <v>0</v>
      </c>
      <c r="AN20" s="38">
        <v>0</v>
      </c>
      <c r="AO20" s="39">
        <f t="shared" si="17"/>
        <v>237032</v>
      </c>
      <c r="AP20" s="40">
        <f t="shared" si="18"/>
        <v>501612</v>
      </c>
      <c r="AQ20" s="28">
        <v>415000</v>
      </c>
      <c r="AR20" s="41">
        <f t="shared" si="30"/>
        <v>1.2087036144578314</v>
      </c>
      <c r="AS20" s="30">
        <f t="shared" si="19"/>
        <v>166212</v>
      </c>
      <c r="AT20" s="30">
        <f t="shared" si="20"/>
        <v>192800</v>
      </c>
      <c r="AU20" s="42">
        <f t="shared" si="21"/>
        <v>860624</v>
      </c>
      <c r="AV20" s="33">
        <f t="shared" si="22"/>
        <v>0</v>
      </c>
      <c r="AW20" s="46">
        <f t="shared" si="23"/>
        <v>0</v>
      </c>
      <c r="AX20" s="33">
        <f t="shared" si="24"/>
        <v>20787</v>
      </c>
      <c r="AY20" s="47">
        <f t="shared" si="25"/>
        <v>0</v>
      </c>
      <c r="AZ20" s="48">
        <f t="shared" si="26"/>
        <v>313718</v>
      </c>
      <c r="BA20" s="49">
        <f t="shared" si="27"/>
        <v>157569</v>
      </c>
      <c r="BB20" s="49">
        <f t="shared" si="28"/>
        <v>30325</v>
      </c>
      <c r="BC20" s="50">
        <f t="shared" si="29"/>
        <v>501612</v>
      </c>
      <c r="BD20" s="51"/>
    </row>
    <row r="21" spans="1:56" s="52" customFormat="1" ht="21.75" customHeight="1" x14ac:dyDescent="0.15">
      <c r="A21" s="53">
        <v>46156</v>
      </c>
      <c r="B21" s="27">
        <v>59888</v>
      </c>
      <c r="C21" s="28">
        <v>145000</v>
      </c>
      <c r="D21" s="29">
        <f>B21/C21</f>
        <v>0.41302068965517241</v>
      </c>
      <c r="E21" s="30">
        <v>161072</v>
      </c>
      <c r="F21" s="31">
        <v>327126</v>
      </c>
      <c r="G21" s="32">
        <f t="shared" si="12"/>
        <v>548086</v>
      </c>
      <c r="H21" s="33">
        <v>0</v>
      </c>
      <c r="I21" s="34">
        <v>0</v>
      </c>
      <c r="J21" s="35">
        <v>0</v>
      </c>
      <c r="K21" s="36">
        <v>0</v>
      </c>
      <c r="L21" s="37">
        <v>20823</v>
      </c>
      <c r="M21" s="38">
        <v>39065</v>
      </c>
      <c r="N21" s="38">
        <v>0</v>
      </c>
      <c r="O21" s="39">
        <f t="shared" si="13"/>
        <v>59888</v>
      </c>
      <c r="P21" s="40">
        <v>144562</v>
      </c>
      <c r="Q21" s="28">
        <v>70000</v>
      </c>
      <c r="R21" s="29">
        <f>P21/Q21</f>
        <v>2.0651714285714284</v>
      </c>
      <c r="S21" s="30">
        <v>0</v>
      </c>
      <c r="T21" s="31">
        <v>25100</v>
      </c>
      <c r="U21" s="32">
        <f t="shared" si="14"/>
        <v>169662</v>
      </c>
      <c r="V21" s="33">
        <v>0</v>
      </c>
      <c r="W21" s="34">
        <v>0</v>
      </c>
      <c r="X21" s="35">
        <v>0</v>
      </c>
      <c r="Y21" s="36">
        <v>0</v>
      </c>
      <c r="Z21" s="37">
        <v>0</v>
      </c>
      <c r="AA21" s="38">
        <v>144562</v>
      </c>
      <c r="AB21" s="38">
        <v>0</v>
      </c>
      <c r="AC21" s="39">
        <f t="shared" si="15"/>
        <v>144562</v>
      </c>
      <c r="AD21" s="45">
        <v>200034</v>
      </c>
      <c r="AE21" s="28">
        <v>200000</v>
      </c>
      <c r="AF21" s="41">
        <f>AD21/AE21</f>
        <v>1.00017</v>
      </c>
      <c r="AG21" s="32">
        <f t="shared" si="16"/>
        <v>200034</v>
      </c>
      <c r="AH21" s="35">
        <v>0</v>
      </c>
      <c r="AI21" s="43">
        <v>0</v>
      </c>
      <c r="AJ21" s="35">
        <v>0</v>
      </c>
      <c r="AK21" s="43">
        <v>0</v>
      </c>
      <c r="AL21" s="44">
        <v>161072</v>
      </c>
      <c r="AM21" s="38">
        <v>0</v>
      </c>
      <c r="AN21" s="38">
        <v>38962</v>
      </c>
      <c r="AO21" s="39">
        <f t="shared" si="17"/>
        <v>200034</v>
      </c>
      <c r="AP21" s="40">
        <f t="shared" si="18"/>
        <v>404484</v>
      </c>
      <c r="AQ21" s="28">
        <v>415000</v>
      </c>
      <c r="AR21" s="41">
        <f t="shared" si="30"/>
        <v>0.9746602409638554</v>
      </c>
      <c r="AS21" s="30">
        <f t="shared" si="19"/>
        <v>161072</v>
      </c>
      <c r="AT21" s="30">
        <f t="shared" si="20"/>
        <v>352226</v>
      </c>
      <c r="AU21" s="42">
        <f t="shared" si="21"/>
        <v>917782</v>
      </c>
      <c r="AV21" s="33">
        <f t="shared" si="22"/>
        <v>0</v>
      </c>
      <c r="AW21" s="46">
        <f t="shared" si="23"/>
        <v>0</v>
      </c>
      <c r="AX21" s="33">
        <f t="shared" si="24"/>
        <v>0</v>
      </c>
      <c r="AY21" s="46">
        <f t="shared" si="25"/>
        <v>0</v>
      </c>
      <c r="AZ21" s="48">
        <f t="shared" si="26"/>
        <v>181895</v>
      </c>
      <c r="BA21" s="49">
        <f t="shared" si="27"/>
        <v>183627</v>
      </c>
      <c r="BB21" s="49">
        <f t="shared" si="28"/>
        <v>38962</v>
      </c>
      <c r="BC21" s="50">
        <f t="shared" si="29"/>
        <v>404484</v>
      </c>
      <c r="BD21" s="51"/>
    </row>
    <row r="22" spans="1:56" s="52" customFormat="1" ht="21.75" customHeight="1" x14ac:dyDescent="0.15">
      <c r="A22" s="53">
        <v>46157</v>
      </c>
      <c r="B22" s="27">
        <v>84646</v>
      </c>
      <c r="C22" s="28">
        <v>145000</v>
      </c>
      <c r="D22" s="29">
        <f>B22/C22</f>
        <v>0.58376551724137926</v>
      </c>
      <c r="E22" s="30">
        <v>161072</v>
      </c>
      <c r="F22" s="31">
        <v>310484</v>
      </c>
      <c r="G22" s="32">
        <f t="shared" si="12"/>
        <v>556202</v>
      </c>
      <c r="H22" s="33">
        <v>0</v>
      </c>
      <c r="I22" s="34">
        <v>0</v>
      </c>
      <c r="J22" s="35">
        <v>0</v>
      </c>
      <c r="K22" s="36">
        <v>0</v>
      </c>
      <c r="L22" s="37">
        <v>74516</v>
      </c>
      <c r="M22" s="38">
        <v>10130</v>
      </c>
      <c r="N22" s="38">
        <v>0</v>
      </c>
      <c r="O22" s="39">
        <f t="shared" si="13"/>
        <v>84646</v>
      </c>
      <c r="P22" s="40">
        <v>100034</v>
      </c>
      <c r="Q22" s="28">
        <v>70000</v>
      </c>
      <c r="R22" s="29">
        <f>P22/Q22</f>
        <v>1.4290571428571428</v>
      </c>
      <c r="S22" s="30">
        <v>12620</v>
      </c>
      <c r="T22" s="31">
        <v>0</v>
      </c>
      <c r="U22" s="32">
        <f t="shared" si="14"/>
        <v>112654</v>
      </c>
      <c r="V22" s="33">
        <v>0</v>
      </c>
      <c r="W22" s="34">
        <v>0</v>
      </c>
      <c r="X22" s="35">
        <v>0</v>
      </c>
      <c r="Y22" s="36">
        <v>0</v>
      </c>
      <c r="Z22" s="37">
        <v>28276</v>
      </c>
      <c r="AA22" s="38">
        <v>71758</v>
      </c>
      <c r="AB22" s="38">
        <v>0</v>
      </c>
      <c r="AC22" s="39">
        <f t="shared" si="15"/>
        <v>100034</v>
      </c>
      <c r="AD22" s="45">
        <v>161072</v>
      </c>
      <c r="AE22" s="28">
        <v>200000</v>
      </c>
      <c r="AF22" s="41">
        <f>AD22/AE22</f>
        <v>0.80535999999999996</v>
      </c>
      <c r="AG22" s="32">
        <f t="shared" si="16"/>
        <v>161072</v>
      </c>
      <c r="AH22" s="35">
        <v>0</v>
      </c>
      <c r="AI22" s="43">
        <v>0</v>
      </c>
      <c r="AJ22" s="35">
        <v>0</v>
      </c>
      <c r="AK22" s="43">
        <v>0</v>
      </c>
      <c r="AL22" s="44">
        <v>161072</v>
      </c>
      <c r="AM22" s="38">
        <v>0</v>
      </c>
      <c r="AN22" s="38">
        <v>0</v>
      </c>
      <c r="AO22" s="39">
        <f t="shared" si="17"/>
        <v>161072</v>
      </c>
      <c r="AP22" s="40">
        <f t="shared" si="18"/>
        <v>345752</v>
      </c>
      <c r="AQ22" s="28">
        <v>415000</v>
      </c>
      <c r="AR22" s="41">
        <f t="shared" si="30"/>
        <v>0.83313734939759032</v>
      </c>
      <c r="AS22" s="30">
        <f t="shared" si="19"/>
        <v>173692</v>
      </c>
      <c r="AT22" s="30">
        <f t="shared" si="20"/>
        <v>310484</v>
      </c>
      <c r="AU22" s="42">
        <f t="shared" si="21"/>
        <v>829928</v>
      </c>
      <c r="AV22" s="33">
        <f t="shared" si="22"/>
        <v>0</v>
      </c>
      <c r="AW22" s="46">
        <f t="shared" si="23"/>
        <v>0</v>
      </c>
      <c r="AX22" s="33">
        <f t="shared" si="24"/>
        <v>0</v>
      </c>
      <c r="AY22" s="46">
        <f t="shared" si="25"/>
        <v>0</v>
      </c>
      <c r="AZ22" s="48">
        <f t="shared" si="26"/>
        <v>263864</v>
      </c>
      <c r="BA22" s="49">
        <f t="shared" si="27"/>
        <v>81888</v>
      </c>
      <c r="BB22" s="49">
        <f t="shared" si="28"/>
        <v>0</v>
      </c>
      <c r="BC22" s="50">
        <f t="shared" si="29"/>
        <v>345752</v>
      </c>
      <c r="BD22" s="51"/>
    </row>
    <row r="23" spans="1:56" s="52" customFormat="1" ht="21.75" customHeight="1" x14ac:dyDescent="0.15">
      <c r="A23" s="26">
        <v>46158</v>
      </c>
      <c r="B23" s="27">
        <v>0</v>
      </c>
      <c r="C23" s="28">
        <v>0</v>
      </c>
      <c r="D23" s="29">
        <v>0</v>
      </c>
      <c r="E23" s="30">
        <v>0</v>
      </c>
      <c r="F23" s="31">
        <v>0</v>
      </c>
      <c r="G23" s="32">
        <f t="shared" ref="G23:G29" si="31">B23+E23+F23</f>
        <v>0</v>
      </c>
      <c r="H23" s="33">
        <v>0</v>
      </c>
      <c r="I23" s="34">
        <v>0</v>
      </c>
      <c r="J23" s="35">
        <v>0</v>
      </c>
      <c r="K23" s="36">
        <v>0</v>
      </c>
      <c r="L23" s="37">
        <v>0</v>
      </c>
      <c r="M23" s="38">
        <v>0</v>
      </c>
      <c r="N23" s="38">
        <v>0</v>
      </c>
      <c r="O23" s="39">
        <f t="shared" ref="O23:O29" si="32">SUM(L23:N23)</f>
        <v>0</v>
      </c>
      <c r="P23" s="40">
        <v>0</v>
      </c>
      <c r="Q23" s="28">
        <v>0</v>
      </c>
      <c r="R23" s="29">
        <v>0</v>
      </c>
      <c r="S23" s="30">
        <v>0</v>
      </c>
      <c r="T23" s="31">
        <v>0</v>
      </c>
      <c r="U23" s="32">
        <f t="shared" ref="U23:U29" si="33">P23+S23+T23</f>
        <v>0</v>
      </c>
      <c r="V23" s="33">
        <v>0</v>
      </c>
      <c r="W23" s="34">
        <v>0</v>
      </c>
      <c r="X23" s="35">
        <v>0</v>
      </c>
      <c r="Y23" s="36">
        <v>0</v>
      </c>
      <c r="Z23" s="37">
        <v>0</v>
      </c>
      <c r="AA23" s="38">
        <v>0</v>
      </c>
      <c r="AB23" s="38">
        <v>0</v>
      </c>
      <c r="AC23" s="39">
        <f t="shared" ref="AC23:AC29" si="34">SUM(Z23:AB23)</f>
        <v>0</v>
      </c>
      <c r="AD23" s="45">
        <v>0</v>
      </c>
      <c r="AE23" s="28">
        <v>0</v>
      </c>
      <c r="AF23" s="41">
        <v>0</v>
      </c>
      <c r="AG23" s="32">
        <f t="shared" ref="AG23:AG29" si="35">AD23</f>
        <v>0</v>
      </c>
      <c r="AH23" s="35">
        <v>0</v>
      </c>
      <c r="AI23" s="43">
        <v>0</v>
      </c>
      <c r="AJ23" s="35">
        <v>0</v>
      </c>
      <c r="AK23" s="43">
        <v>0</v>
      </c>
      <c r="AL23" s="44">
        <v>0</v>
      </c>
      <c r="AM23" s="38">
        <v>0</v>
      </c>
      <c r="AN23" s="38">
        <v>0</v>
      </c>
      <c r="AO23" s="39">
        <f t="shared" ref="AO23:AO29" si="36">SUM(AL23:AN23)</f>
        <v>0</v>
      </c>
      <c r="AP23" s="40">
        <f t="shared" ref="AP23:AP29" si="37">AD23+P23+B23</f>
        <v>0</v>
      </c>
      <c r="AQ23" s="28">
        <v>0</v>
      </c>
      <c r="AR23" s="41">
        <v>0</v>
      </c>
      <c r="AS23" s="30">
        <f t="shared" ref="AS23:AS29" si="38">E23+S23</f>
        <v>0</v>
      </c>
      <c r="AT23" s="30">
        <f t="shared" ref="AT23:AT29" si="39">F23+T23</f>
        <v>0</v>
      </c>
      <c r="AU23" s="42">
        <f t="shared" ref="AU23:AU29" si="40">AP23+AS23+AT23</f>
        <v>0</v>
      </c>
      <c r="AV23" s="33">
        <f t="shared" ref="AV23:AV29" si="41">SUM(H23,V23,AH23)</f>
        <v>0</v>
      </c>
      <c r="AW23" s="46">
        <f t="shared" ref="AW23:AW29" si="42">SUM(I23,W23,AI23)</f>
        <v>0</v>
      </c>
      <c r="AX23" s="33">
        <f t="shared" ref="AX23:AX29" si="43">SUM(J23,X23,AJ23)</f>
        <v>0</v>
      </c>
      <c r="AY23" s="46">
        <f t="shared" ref="AY23:AY29" si="44">SUM(K23,Y23,AK23)</f>
        <v>0</v>
      </c>
      <c r="AZ23" s="48">
        <f t="shared" ref="AZ23:AZ29" si="45">L23+Z23+AL23</f>
        <v>0</v>
      </c>
      <c r="BA23" s="49">
        <f t="shared" ref="BA23:BA29" si="46">M23+AA23+AM23</f>
        <v>0</v>
      </c>
      <c r="BB23" s="49">
        <f t="shared" ref="BB23:BB29" si="47">N23+AB23+AN23</f>
        <v>0</v>
      </c>
      <c r="BC23" s="50">
        <f t="shared" ref="BC23:BC29" si="48">SUM(AZ23:BB23)</f>
        <v>0</v>
      </c>
      <c r="BD23" s="51"/>
    </row>
    <row r="24" spans="1:56" s="52" customFormat="1" ht="21.75" customHeight="1" x14ac:dyDescent="0.15">
      <c r="A24" s="26">
        <v>46159</v>
      </c>
      <c r="B24" s="27">
        <v>0</v>
      </c>
      <c r="C24" s="28">
        <v>0</v>
      </c>
      <c r="D24" s="29">
        <v>0</v>
      </c>
      <c r="E24" s="30">
        <v>0</v>
      </c>
      <c r="F24" s="31">
        <v>0</v>
      </c>
      <c r="G24" s="32">
        <f t="shared" si="31"/>
        <v>0</v>
      </c>
      <c r="H24" s="33">
        <v>0</v>
      </c>
      <c r="I24" s="34">
        <v>0</v>
      </c>
      <c r="J24" s="35">
        <v>0</v>
      </c>
      <c r="K24" s="36">
        <v>0</v>
      </c>
      <c r="L24" s="37">
        <v>0</v>
      </c>
      <c r="M24" s="38">
        <v>0</v>
      </c>
      <c r="N24" s="38">
        <v>0</v>
      </c>
      <c r="O24" s="39">
        <f t="shared" si="32"/>
        <v>0</v>
      </c>
      <c r="P24" s="40">
        <v>0</v>
      </c>
      <c r="Q24" s="28">
        <v>0</v>
      </c>
      <c r="R24" s="29">
        <v>0</v>
      </c>
      <c r="S24" s="30">
        <v>0</v>
      </c>
      <c r="T24" s="31">
        <v>0</v>
      </c>
      <c r="U24" s="32">
        <f t="shared" si="33"/>
        <v>0</v>
      </c>
      <c r="V24" s="33">
        <v>0</v>
      </c>
      <c r="W24" s="34">
        <v>0</v>
      </c>
      <c r="X24" s="35">
        <v>0</v>
      </c>
      <c r="Y24" s="36">
        <v>0</v>
      </c>
      <c r="Z24" s="37">
        <v>0</v>
      </c>
      <c r="AA24" s="38">
        <v>0</v>
      </c>
      <c r="AB24" s="38">
        <v>0</v>
      </c>
      <c r="AC24" s="39">
        <f t="shared" si="34"/>
        <v>0</v>
      </c>
      <c r="AD24" s="45">
        <v>0</v>
      </c>
      <c r="AE24" s="28">
        <v>0</v>
      </c>
      <c r="AF24" s="41">
        <v>0</v>
      </c>
      <c r="AG24" s="32">
        <f t="shared" si="35"/>
        <v>0</v>
      </c>
      <c r="AH24" s="35">
        <v>0</v>
      </c>
      <c r="AI24" s="43">
        <v>0</v>
      </c>
      <c r="AJ24" s="35">
        <v>0</v>
      </c>
      <c r="AK24" s="43">
        <v>0</v>
      </c>
      <c r="AL24" s="44">
        <v>0</v>
      </c>
      <c r="AM24" s="38">
        <v>0</v>
      </c>
      <c r="AN24" s="38">
        <v>0</v>
      </c>
      <c r="AO24" s="39">
        <f t="shared" si="36"/>
        <v>0</v>
      </c>
      <c r="AP24" s="40">
        <f t="shared" si="37"/>
        <v>0</v>
      </c>
      <c r="AQ24" s="28">
        <v>0</v>
      </c>
      <c r="AR24" s="41">
        <v>0</v>
      </c>
      <c r="AS24" s="30">
        <f t="shared" si="38"/>
        <v>0</v>
      </c>
      <c r="AT24" s="30">
        <f t="shared" si="39"/>
        <v>0</v>
      </c>
      <c r="AU24" s="42">
        <f t="shared" si="40"/>
        <v>0</v>
      </c>
      <c r="AV24" s="33">
        <f t="shared" si="41"/>
        <v>0</v>
      </c>
      <c r="AW24" s="46">
        <f t="shared" si="42"/>
        <v>0</v>
      </c>
      <c r="AX24" s="33">
        <f t="shared" si="43"/>
        <v>0</v>
      </c>
      <c r="AY24" s="46">
        <f t="shared" si="44"/>
        <v>0</v>
      </c>
      <c r="AZ24" s="48">
        <f t="shared" si="45"/>
        <v>0</v>
      </c>
      <c r="BA24" s="49">
        <f t="shared" si="46"/>
        <v>0</v>
      </c>
      <c r="BB24" s="49">
        <f t="shared" si="47"/>
        <v>0</v>
      </c>
      <c r="BC24" s="50">
        <f t="shared" si="48"/>
        <v>0</v>
      </c>
      <c r="BD24" s="51"/>
    </row>
    <row r="25" spans="1:56" s="52" customFormat="1" ht="21.75" customHeight="1" x14ac:dyDescent="0.15">
      <c r="A25" s="53">
        <v>46160</v>
      </c>
      <c r="B25" s="27">
        <v>116976</v>
      </c>
      <c r="C25" s="28">
        <v>145000</v>
      </c>
      <c r="D25" s="29">
        <f>B25/C25</f>
        <v>0.80673103448275862</v>
      </c>
      <c r="E25" s="30">
        <v>106387</v>
      </c>
      <c r="F25" s="31">
        <v>289200</v>
      </c>
      <c r="G25" s="32">
        <f t="shared" si="31"/>
        <v>512563</v>
      </c>
      <c r="H25" s="33">
        <v>0</v>
      </c>
      <c r="I25" s="34">
        <v>0</v>
      </c>
      <c r="J25" s="35">
        <v>0</v>
      </c>
      <c r="K25" s="36">
        <v>0</v>
      </c>
      <c r="L25" s="37">
        <v>97316</v>
      </c>
      <c r="M25" s="38">
        <v>19660</v>
      </c>
      <c r="N25" s="38">
        <v>0</v>
      </c>
      <c r="O25" s="39">
        <f t="shared" si="32"/>
        <v>116976</v>
      </c>
      <c r="P25" s="40">
        <v>71976</v>
      </c>
      <c r="Q25" s="28">
        <v>70000</v>
      </c>
      <c r="R25" s="29">
        <f>P25/Q25</f>
        <v>1.0282285714285715</v>
      </c>
      <c r="S25" s="30">
        <v>12221</v>
      </c>
      <c r="T25" s="31">
        <v>74900</v>
      </c>
      <c r="U25" s="32">
        <f t="shared" si="33"/>
        <v>159097</v>
      </c>
      <c r="V25" s="33">
        <v>0</v>
      </c>
      <c r="W25" s="34">
        <v>0</v>
      </c>
      <c r="X25" s="35">
        <v>0</v>
      </c>
      <c r="Y25" s="36">
        <v>0</v>
      </c>
      <c r="Z25" s="37">
        <v>48946</v>
      </c>
      <c r="AA25" s="38">
        <v>23030</v>
      </c>
      <c r="AB25" s="38">
        <v>0</v>
      </c>
      <c r="AC25" s="39">
        <f t="shared" si="34"/>
        <v>71976</v>
      </c>
      <c r="AD25" s="45">
        <v>173692</v>
      </c>
      <c r="AE25" s="28">
        <v>200000</v>
      </c>
      <c r="AF25" s="41">
        <f>AD25/AE25</f>
        <v>0.86846000000000001</v>
      </c>
      <c r="AG25" s="32">
        <f t="shared" si="35"/>
        <v>173692</v>
      </c>
      <c r="AH25" s="35">
        <v>0</v>
      </c>
      <c r="AI25" s="43">
        <v>0</v>
      </c>
      <c r="AJ25" s="35">
        <v>31298</v>
      </c>
      <c r="AK25" s="43">
        <v>0</v>
      </c>
      <c r="AL25" s="44">
        <f>161072+12620</f>
        <v>173692</v>
      </c>
      <c r="AM25" s="38">
        <v>0</v>
      </c>
      <c r="AN25" s="38">
        <v>0</v>
      </c>
      <c r="AO25" s="39">
        <f t="shared" si="36"/>
        <v>173692</v>
      </c>
      <c r="AP25" s="40">
        <f t="shared" si="37"/>
        <v>362644</v>
      </c>
      <c r="AQ25" s="28">
        <v>415000</v>
      </c>
      <c r="AR25" s="41">
        <f>AP25/AQ25</f>
        <v>0.87384096385542165</v>
      </c>
      <c r="AS25" s="30">
        <f t="shared" si="38"/>
        <v>118608</v>
      </c>
      <c r="AT25" s="30">
        <f t="shared" si="39"/>
        <v>364100</v>
      </c>
      <c r="AU25" s="42">
        <f t="shared" si="40"/>
        <v>845352</v>
      </c>
      <c r="AV25" s="33">
        <f t="shared" si="41"/>
        <v>0</v>
      </c>
      <c r="AW25" s="46">
        <f t="shared" si="42"/>
        <v>0</v>
      </c>
      <c r="AX25" s="33">
        <f t="shared" si="43"/>
        <v>31298</v>
      </c>
      <c r="AY25" s="46">
        <f t="shared" si="44"/>
        <v>0</v>
      </c>
      <c r="AZ25" s="48">
        <f t="shared" si="45"/>
        <v>319954</v>
      </c>
      <c r="BA25" s="49">
        <f t="shared" si="46"/>
        <v>42690</v>
      </c>
      <c r="BB25" s="49">
        <f t="shared" si="47"/>
        <v>0</v>
      </c>
      <c r="BC25" s="50">
        <f t="shared" si="48"/>
        <v>362644</v>
      </c>
      <c r="BD25" s="51"/>
    </row>
    <row r="26" spans="1:56" s="52" customFormat="1" ht="21.75" customHeight="1" x14ac:dyDescent="0.15">
      <c r="A26" s="53">
        <v>46161</v>
      </c>
      <c r="B26" s="27">
        <v>150907</v>
      </c>
      <c r="C26" s="28">
        <v>145000</v>
      </c>
      <c r="D26" s="29">
        <f>B26/C26</f>
        <v>1.0407379310344829</v>
      </c>
      <c r="E26" s="30">
        <v>100506</v>
      </c>
      <c r="F26" s="31">
        <v>0</v>
      </c>
      <c r="G26" s="32">
        <f t="shared" si="31"/>
        <v>251413</v>
      </c>
      <c r="H26" s="33">
        <v>0</v>
      </c>
      <c r="I26" s="34">
        <v>0</v>
      </c>
      <c r="J26" s="35">
        <v>0</v>
      </c>
      <c r="K26" s="36">
        <v>0</v>
      </c>
      <c r="L26" s="37">
        <v>111572</v>
      </c>
      <c r="M26" s="38">
        <v>39335</v>
      </c>
      <c r="N26" s="38">
        <v>0</v>
      </c>
      <c r="O26" s="39">
        <f t="shared" si="32"/>
        <v>150907</v>
      </c>
      <c r="P26" s="40">
        <v>88315</v>
      </c>
      <c r="Q26" s="28">
        <v>70000</v>
      </c>
      <c r="R26" s="29">
        <f>P26/Q26</f>
        <v>1.2616428571428571</v>
      </c>
      <c r="S26" s="30">
        <v>22804</v>
      </c>
      <c r="T26" s="31">
        <v>0</v>
      </c>
      <c r="U26" s="32">
        <f t="shared" si="33"/>
        <v>111119</v>
      </c>
      <c r="V26" s="33">
        <v>0</v>
      </c>
      <c r="W26" s="34">
        <v>0</v>
      </c>
      <c r="X26" s="35">
        <v>0</v>
      </c>
      <c r="Y26" s="36">
        <v>0</v>
      </c>
      <c r="Z26" s="37">
        <v>88315</v>
      </c>
      <c r="AA26" s="38">
        <v>0</v>
      </c>
      <c r="AB26" s="38">
        <v>0</v>
      </c>
      <c r="AC26" s="39">
        <f t="shared" si="34"/>
        <v>88315</v>
      </c>
      <c r="AD26" s="45">
        <v>106387</v>
      </c>
      <c r="AE26" s="28">
        <v>200000</v>
      </c>
      <c r="AF26" s="41">
        <f>AD26/AE26</f>
        <v>0.53193500000000005</v>
      </c>
      <c r="AG26" s="32">
        <f t="shared" si="35"/>
        <v>106387</v>
      </c>
      <c r="AH26" s="35">
        <v>0</v>
      </c>
      <c r="AI26" s="43">
        <v>0</v>
      </c>
      <c r="AJ26" s="35">
        <v>38169</v>
      </c>
      <c r="AK26" s="43">
        <v>0</v>
      </c>
      <c r="AL26" s="44">
        <v>106387</v>
      </c>
      <c r="AM26" s="38">
        <v>0</v>
      </c>
      <c r="AN26" s="38">
        <v>0</v>
      </c>
      <c r="AO26" s="39">
        <f t="shared" si="36"/>
        <v>106387</v>
      </c>
      <c r="AP26" s="40">
        <f t="shared" si="37"/>
        <v>345609</v>
      </c>
      <c r="AQ26" s="28">
        <v>415000</v>
      </c>
      <c r="AR26" s="41">
        <f>AP26/AQ26</f>
        <v>0.83279277108433736</v>
      </c>
      <c r="AS26" s="30">
        <f t="shared" si="38"/>
        <v>123310</v>
      </c>
      <c r="AT26" s="30">
        <f t="shared" si="39"/>
        <v>0</v>
      </c>
      <c r="AU26" s="42">
        <f t="shared" si="40"/>
        <v>468919</v>
      </c>
      <c r="AV26" s="33">
        <f t="shared" si="41"/>
        <v>0</v>
      </c>
      <c r="AW26" s="46">
        <f t="shared" si="42"/>
        <v>0</v>
      </c>
      <c r="AX26" s="33">
        <f t="shared" si="43"/>
        <v>38169</v>
      </c>
      <c r="AY26" s="46">
        <f t="shared" si="44"/>
        <v>0</v>
      </c>
      <c r="AZ26" s="48">
        <f t="shared" si="45"/>
        <v>306274</v>
      </c>
      <c r="BA26" s="49">
        <f t="shared" si="46"/>
        <v>39335</v>
      </c>
      <c r="BB26" s="49">
        <f t="shared" si="47"/>
        <v>0</v>
      </c>
      <c r="BC26" s="50">
        <f t="shared" si="48"/>
        <v>345609</v>
      </c>
      <c r="BD26" s="51"/>
    </row>
    <row r="27" spans="1:56" s="52" customFormat="1" ht="21.75" customHeight="1" x14ac:dyDescent="0.15">
      <c r="A27" s="53">
        <v>46162</v>
      </c>
      <c r="B27" s="27">
        <v>22372</v>
      </c>
      <c r="C27" s="28">
        <v>145000</v>
      </c>
      <c r="D27" s="29">
        <f>B27/C27</f>
        <v>0.1542896551724138</v>
      </c>
      <c r="E27" s="30">
        <v>184254</v>
      </c>
      <c r="F27" s="31">
        <v>385800</v>
      </c>
      <c r="G27" s="32">
        <f t="shared" si="31"/>
        <v>592426</v>
      </c>
      <c r="H27" s="33">
        <v>0</v>
      </c>
      <c r="I27" s="34">
        <v>0</v>
      </c>
      <c r="J27" s="35">
        <v>0</v>
      </c>
      <c r="K27" s="36">
        <v>0</v>
      </c>
      <c r="L27" s="37">
        <v>22372</v>
      </c>
      <c r="M27" s="38">
        <v>0</v>
      </c>
      <c r="N27" s="38">
        <v>0</v>
      </c>
      <c r="O27" s="39">
        <f t="shared" si="32"/>
        <v>22372</v>
      </c>
      <c r="P27" s="40">
        <v>24505</v>
      </c>
      <c r="Q27" s="28">
        <v>70000</v>
      </c>
      <c r="R27" s="29">
        <f>P27/Q27</f>
        <v>0.35007142857142859</v>
      </c>
      <c r="S27" s="30">
        <v>24803</v>
      </c>
      <c r="T27" s="31">
        <v>102950</v>
      </c>
      <c r="U27" s="32">
        <f t="shared" si="33"/>
        <v>152258</v>
      </c>
      <c r="V27" s="33">
        <v>0</v>
      </c>
      <c r="W27" s="34">
        <v>0</v>
      </c>
      <c r="X27" s="35">
        <v>0</v>
      </c>
      <c r="Y27" s="36">
        <v>6707</v>
      </c>
      <c r="Z27" s="37">
        <v>0</v>
      </c>
      <c r="AA27" s="38">
        <v>24505</v>
      </c>
      <c r="AB27" s="38">
        <v>0</v>
      </c>
      <c r="AC27" s="39">
        <f t="shared" si="34"/>
        <v>24505</v>
      </c>
      <c r="AD27" s="45">
        <v>146492</v>
      </c>
      <c r="AE27" s="28">
        <v>200000</v>
      </c>
      <c r="AF27" s="41">
        <f>AD27/AE27</f>
        <v>0.73246</v>
      </c>
      <c r="AG27" s="32">
        <f t="shared" si="35"/>
        <v>146492</v>
      </c>
      <c r="AH27" s="35">
        <v>0</v>
      </c>
      <c r="AI27" s="43">
        <v>0</v>
      </c>
      <c r="AJ27" s="35">
        <v>0</v>
      </c>
      <c r="AK27" s="43">
        <v>0</v>
      </c>
      <c r="AL27" s="44">
        <v>123688</v>
      </c>
      <c r="AM27" s="38">
        <v>22804</v>
      </c>
      <c r="AN27" s="38">
        <v>0</v>
      </c>
      <c r="AO27" s="39">
        <f t="shared" si="36"/>
        <v>146492</v>
      </c>
      <c r="AP27" s="40">
        <f t="shared" si="37"/>
        <v>193369</v>
      </c>
      <c r="AQ27" s="28">
        <v>415000</v>
      </c>
      <c r="AR27" s="41">
        <f>AP27/AQ27</f>
        <v>0.46594939759036147</v>
      </c>
      <c r="AS27" s="30">
        <f t="shared" si="38"/>
        <v>209057</v>
      </c>
      <c r="AT27" s="30">
        <f t="shared" si="39"/>
        <v>488750</v>
      </c>
      <c r="AU27" s="42">
        <f t="shared" si="40"/>
        <v>891176</v>
      </c>
      <c r="AV27" s="33">
        <f t="shared" si="41"/>
        <v>0</v>
      </c>
      <c r="AW27" s="46">
        <f t="shared" si="42"/>
        <v>0</v>
      </c>
      <c r="AX27" s="33">
        <f t="shared" si="43"/>
        <v>0</v>
      </c>
      <c r="AY27" s="47">
        <f t="shared" si="44"/>
        <v>6707</v>
      </c>
      <c r="AZ27" s="48">
        <f t="shared" si="45"/>
        <v>146060</v>
      </c>
      <c r="BA27" s="49">
        <f t="shared" si="46"/>
        <v>47309</v>
      </c>
      <c r="BB27" s="49">
        <f t="shared" si="47"/>
        <v>0</v>
      </c>
      <c r="BC27" s="50">
        <f t="shared" si="48"/>
        <v>193369</v>
      </c>
      <c r="BD27" s="51"/>
    </row>
    <row r="28" spans="1:56" s="52" customFormat="1" ht="21.75" customHeight="1" x14ac:dyDescent="0.15">
      <c r="A28" s="53">
        <v>46163</v>
      </c>
      <c r="B28" s="27">
        <v>45898</v>
      </c>
      <c r="C28" s="28">
        <v>145000</v>
      </c>
      <c r="D28" s="29">
        <f>B28/C28</f>
        <v>0.31653793103448274</v>
      </c>
      <c r="E28" s="30">
        <v>184446</v>
      </c>
      <c r="F28" s="31">
        <v>80652</v>
      </c>
      <c r="G28" s="32">
        <f t="shared" si="31"/>
        <v>310996</v>
      </c>
      <c r="H28" s="33">
        <v>0</v>
      </c>
      <c r="I28" s="34">
        <v>0</v>
      </c>
      <c r="J28" s="35">
        <v>0</v>
      </c>
      <c r="K28" s="36">
        <v>0</v>
      </c>
      <c r="L28" s="37">
        <v>45898</v>
      </c>
      <c r="M28" s="38">
        <v>0</v>
      </c>
      <c r="N28" s="38">
        <v>0</v>
      </c>
      <c r="O28" s="39">
        <f t="shared" si="32"/>
        <v>45898</v>
      </c>
      <c r="P28" s="40">
        <v>40374</v>
      </c>
      <c r="Q28" s="28">
        <v>70000</v>
      </c>
      <c r="R28" s="29">
        <f>P28/Q28</f>
        <v>0.5767714285714286</v>
      </c>
      <c r="S28" s="30">
        <v>7102</v>
      </c>
      <c r="T28" s="31">
        <v>120700</v>
      </c>
      <c r="U28" s="32">
        <f t="shared" si="33"/>
        <v>168176</v>
      </c>
      <c r="V28" s="33">
        <v>0</v>
      </c>
      <c r="W28" s="34">
        <v>0</v>
      </c>
      <c r="X28" s="35">
        <v>0</v>
      </c>
      <c r="Y28" s="36">
        <v>0</v>
      </c>
      <c r="Z28" s="37">
        <v>40374</v>
      </c>
      <c r="AA28" s="38">
        <v>0</v>
      </c>
      <c r="AB28" s="38">
        <v>0</v>
      </c>
      <c r="AC28" s="39">
        <f t="shared" si="34"/>
        <v>40374</v>
      </c>
      <c r="AD28" s="45">
        <v>184446</v>
      </c>
      <c r="AE28" s="28">
        <v>200000</v>
      </c>
      <c r="AF28" s="41">
        <f>AD28/AE28</f>
        <v>0.92222999999999999</v>
      </c>
      <c r="AG28" s="32">
        <f t="shared" si="35"/>
        <v>184446</v>
      </c>
      <c r="AH28" s="35">
        <v>0</v>
      </c>
      <c r="AI28" s="43">
        <v>0</v>
      </c>
      <c r="AJ28" s="35">
        <v>0</v>
      </c>
      <c r="AK28" s="43">
        <v>0</v>
      </c>
      <c r="AL28" s="44">
        <v>161072</v>
      </c>
      <c r="AM28" s="38">
        <v>23374</v>
      </c>
      <c r="AN28" s="38">
        <v>0</v>
      </c>
      <c r="AO28" s="39">
        <f t="shared" si="36"/>
        <v>184446</v>
      </c>
      <c r="AP28" s="40">
        <f t="shared" si="37"/>
        <v>270718</v>
      </c>
      <c r="AQ28" s="28">
        <v>415000</v>
      </c>
      <c r="AR28" s="41">
        <f>AP28/AQ28</f>
        <v>0.65233253012048198</v>
      </c>
      <c r="AS28" s="30">
        <f t="shared" si="38"/>
        <v>191548</v>
      </c>
      <c r="AT28" s="30">
        <f t="shared" si="39"/>
        <v>201352</v>
      </c>
      <c r="AU28" s="42">
        <f t="shared" si="40"/>
        <v>663618</v>
      </c>
      <c r="AV28" s="33">
        <f t="shared" si="41"/>
        <v>0</v>
      </c>
      <c r="AW28" s="46">
        <f t="shared" si="42"/>
        <v>0</v>
      </c>
      <c r="AX28" s="33">
        <f t="shared" si="43"/>
        <v>0</v>
      </c>
      <c r="AY28" s="46">
        <f t="shared" si="44"/>
        <v>0</v>
      </c>
      <c r="AZ28" s="48">
        <f t="shared" si="45"/>
        <v>247344</v>
      </c>
      <c r="BA28" s="49">
        <f t="shared" si="46"/>
        <v>23374</v>
      </c>
      <c r="BB28" s="49">
        <f t="shared" si="47"/>
        <v>0</v>
      </c>
      <c r="BC28" s="50">
        <f t="shared" si="48"/>
        <v>270718</v>
      </c>
      <c r="BD28" s="51"/>
    </row>
    <row r="29" spans="1:56" s="52" customFormat="1" ht="21.75" customHeight="1" x14ac:dyDescent="0.15">
      <c r="A29" s="53">
        <v>46164</v>
      </c>
      <c r="B29" s="27">
        <v>146214</v>
      </c>
      <c r="C29" s="28">
        <v>145000</v>
      </c>
      <c r="D29" s="29">
        <f>B29/C29</f>
        <v>1.0083724137931034</v>
      </c>
      <c r="E29" s="30">
        <v>135612</v>
      </c>
      <c r="F29" s="31">
        <v>0</v>
      </c>
      <c r="G29" s="32">
        <f t="shared" si="31"/>
        <v>281826</v>
      </c>
      <c r="H29" s="33">
        <v>0</v>
      </c>
      <c r="I29" s="34">
        <v>0</v>
      </c>
      <c r="J29" s="35">
        <v>0</v>
      </c>
      <c r="K29" s="36">
        <v>0</v>
      </c>
      <c r="L29" s="37">
        <v>37644</v>
      </c>
      <c r="M29" s="38">
        <v>108570</v>
      </c>
      <c r="N29" s="38">
        <v>0</v>
      </c>
      <c r="O29" s="39">
        <f t="shared" si="32"/>
        <v>146214</v>
      </c>
      <c r="P29" s="40">
        <v>95763</v>
      </c>
      <c r="Q29" s="28">
        <v>70000</v>
      </c>
      <c r="R29" s="29">
        <f>P29/Q29</f>
        <v>1.3680428571428571</v>
      </c>
      <c r="S29" s="30">
        <v>0</v>
      </c>
      <c r="T29" s="31">
        <v>0</v>
      </c>
      <c r="U29" s="32">
        <f t="shared" si="33"/>
        <v>95763</v>
      </c>
      <c r="V29" s="33">
        <v>0</v>
      </c>
      <c r="W29" s="34">
        <v>0</v>
      </c>
      <c r="X29" s="35">
        <v>0</v>
      </c>
      <c r="Y29" s="36">
        <v>0</v>
      </c>
      <c r="Z29" s="37">
        <v>11187</v>
      </c>
      <c r="AA29" s="38">
        <v>0</v>
      </c>
      <c r="AB29" s="38">
        <v>84576</v>
      </c>
      <c r="AC29" s="39">
        <f t="shared" si="34"/>
        <v>95763</v>
      </c>
      <c r="AD29" s="45">
        <v>168174</v>
      </c>
      <c r="AE29" s="28">
        <v>200000</v>
      </c>
      <c r="AF29" s="41">
        <f>AD29/AE29</f>
        <v>0.84087000000000001</v>
      </c>
      <c r="AG29" s="32">
        <f t="shared" si="35"/>
        <v>168174</v>
      </c>
      <c r="AH29" s="35">
        <v>0</v>
      </c>
      <c r="AI29" s="43">
        <v>0</v>
      </c>
      <c r="AJ29" s="35">
        <v>0</v>
      </c>
      <c r="AK29" s="43">
        <v>0</v>
      </c>
      <c r="AL29" s="44">
        <v>168174</v>
      </c>
      <c r="AM29" s="38">
        <v>0</v>
      </c>
      <c r="AN29" s="38">
        <v>0</v>
      </c>
      <c r="AO29" s="39">
        <f t="shared" si="36"/>
        <v>168174</v>
      </c>
      <c r="AP29" s="40">
        <f t="shared" si="37"/>
        <v>410151</v>
      </c>
      <c r="AQ29" s="28">
        <v>415000</v>
      </c>
      <c r="AR29" s="41">
        <f>AP29/AQ29</f>
        <v>0.98831566265060244</v>
      </c>
      <c r="AS29" s="30">
        <f t="shared" si="38"/>
        <v>135612</v>
      </c>
      <c r="AT29" s="30">
        <f t="shared" si="39"/>
        <v>0</v>
      </c>
      <c r="AU29" s="42">
        <f t="shared" si="40"/>
        <v>545763</v>
      </c>
      <c r="AV29" s="33">
        <f t="shared" si="41"/>
        <v>0</v>
      </c>
      <c r="AW29" s="46">
        <f t="shared" si="42"/>
        <v>0</v>
      </c>
      <c r="AX29" s="33">
        <f t="shared" si="43"/>
        <v>0</v>
      </c>
      <c r="AY29" s="46">
        <f t="shared" si="44"/>
        <v>0</v>
      </c>
      <c r="AZ29" s="48">
        <f t="shared" si="45"/>
        <v>217005</v>
      </c>
      <c r="BA29" s="49">
        <f t="shared" si="46"/>
        <v>108570</v>
      </c>
      <c r="BB29" s="49">
        <f t="shared" si="47"/>
        <v>84576</v>
      </c>
      <c r="BC29" s="50">
        <f t="shared" si="48"/>
        <v>410151</v>
      </c>
      <c r="BD29" s="51"/>
    </row>
    <row r="30" spans="1:56" s="52" customFormat="1" ht="21.75" customHeight="1" x14ac:dyDescent="0.15">
      <c r="A30" s="26">
        <v>46165</v>
      </c>
      <c r="B30" s="27">
        <v>0</v>
      </c>
      <c r="C30" s="28">
        <v>0</v>
      </c>
      <c r="D30" s="29">
        <v>0</v>
      </c>
      <c r="E30" s="30">
        <v>0</v>
      </c>
      <c r="F30" s="31">
        <v>0</v>
      </c>
      <c r="G30" s="32">
        <f t="shared" ref="G30:G36" si="49">B30+E30+F30</f>
        <v>0</v>
      </c>
      <c r="H30" s="33">
        <v>0</v>
      </c>
      <c r="I30" s="34">
        <v>0</v>
      </c>
      <c r="J30" s="35">
        <v>0</v>
      </c>
      <c r="K30" s="36">
        <v>0</v>
      </c>
      <c r="L30" s="37">
        <v>0</v>
      </c>
      <c r="M30" s="38">
        <v>0</v>
      </c>
      <c r="N30" s="38">
        <v>0</v>
      </c>
      <c r="O30" s="39">
        <f t="shared" ref="O30:O36" si="50">SUM(L30:N30)</f>
        <v>0</v>
      </c>
      <c r="P30" s="40">
        <v>0</v>
      </c>
      <c r="Q30" s="28">
        <v>0</v>
      </c>
      <c r="R30" s="29">
        <v>0</v>
      </c>
      <c r="S30" s="30">
        <v>0</v>
      </c>
      <c r="T30" s="31">
        <v>0</v>
      </c>
      <c r="U30" s="32">
        <f t="shared" ref="U30:U36" si="51">P30+S30+T30</f>
        <v>0</v>
      </c>
      <c r="V30" s="33">
        <v>0</v>
      </c>
      <c r="W30" s="34">
        <v>0</v>
      </c>
      <c r="X30" s="35">
        <v>0</v>
      </c>
      <c r="Y30" s="36">
        <v>0</v>
      </c>
      <c r="Z30" s="37">
        <v>0</v>
      </c>
      <c r="AA30" s="38">
        <v>0</v>
      </c>
      <c r="AB30" s="38">
        <v>0</v>
      </c>
      <c r="AC30" s="39">
        <f t="shared" ref="AC30:AC36" si="52">SUM(Z30:AB30)</f>
        <v>0</v>
      </c>
      <c r="AD30" s="45">
        <v>0</v>
      </c>
      <c r="AE30" s="28">
        <v>0</v>
      </c>
      <c r="AF30" s="41">
        <v>0</v>
      </c>
      <c r="AG30" s="32">
        <f t="shared" ref="AG30:AG36" si="53">AD30</f>
        <v>0</v>
      </c>
      <c r="AH30" s="35">
        <v>0</v>
      </c>
      <c r="AI30" s="43">
        <v>0</v>
      </c>
      <c r="AJ30" s="35">
        <v>0</v>
      </c>
      <c r="AK30" s="43">
        <v>0</v>
      </c>
      <c r="AL30" s="44">
        <v>0</v>
      </c>
      <c r="AM30" s="38">
        <v>0</v>
      </c>
      <c r="AN30" s="38">
        <v>0</v>
      </c>
      <c r="AO30" s="39">
        <f t="shared" ref="AO30:AO36" si="54">SUM(AL30:AN30)</f>
        <v>0</v>
      </c>
      <c r="AP30" s="40">
        <f t="shared" ref="AP30:AP36" si="55">AD30+P30+B30</f>
        <v>0</v>
      </c>
      <c r="AQ30" s="28">
        <v>0</v>
      </c>
      <c r="AR30" s="41">
        <v>0</v>
      </c>
      <c r="AS30" s="30">
        <f t="shared" ref="AS30:AS36" si="56">E30+S30</f>
        <v>0</v>
      </c>
      <c r="AT30" s="30">
        <f t="shared" ref="AT30:AT36" si="57">F30+T30</f>
        <v>0</v>
      </c>
      <c r="AU30" s="42">
        <f t="shared" ref="AU30:AU36" si="58">AP30+AS30+AT30</f>
        <v>0</v>
      </c>
      <c r="AV30" s="33">
        <f t="shared" ref="AV30:AV36" si="59">SUM(H30,V30,AH30)</f>
        <v>0</v>
      </c>
      <c r="AW30" s="46">
        <f t="shared" ref="AW30:AW36" si="60">SUM(I30,W30,AI30)</f>
        <v>0</v>
      </c>
      <c r="AX30" s="33">
        <f t="shared" ref="AX30:AX36" si="61">SUM(J30,X30,AJ30)</f>
        <v>0</v>
      </c>
      <c r="AY30" s="46">
        <f t="shared" ref="AY30:AY36" si="62">SUM(K30,Y30,AK30)</f>
        <v>0</v>
      </c>
      <c r="AZ30" s="48">
        <f t="shared" ref="AZ30:AZ36" si="63">L30+Z30+AL30</f>
        <v>0</v>
      </c>
      <c r="BA30" s="49">
        <f t="shared" ref="BA30:BA36" si="64">M30+AA30+AM30</f>
        <v>0</v>
      </c>
      <c r="BB30" s="49">
        <f t="shared" ref="BB30:BB36" si="65">N30+AB30+AN30</f>
        <v>0</v>
      </c>
      <c r="BC30" s="50">
        <f t="shared" ref="BC30:BC36" si="66">SUM(AZ30:BB30)</f>
        <v>0</v>
      </c>
      <c r="BD30" s="51"/>
    </row>
    <row r="31" spans="1:56" s="52" customFormat="1" ht="21.75" customHeight="1" x14ac:dyDescent="0.15">
      <c r="A31" s="26">
        <v>46166</v>
      </c>
      <c r="B31" s="27">
        <v>0</v>
      </c>
      <c r="C31" s="28">
        <v>0</v>
      </c>
      <c r="D31" s="29">
        <v>0</v>
      </c>
      <c r="E31" s="30">
        <v>0</v>
      </c>
      <c r="F31" s="31">
        <v>0</v>
      </c>
      <c r="G31" s="32">
        <f t="shared" si="49"/>
        <v>0</v>
      </c>
      <c r="H31" s="33">
        <v>0</v>
      </c>
      <c r="I31" s="34">
        <v>0</v>
      </c>
      <c r="J31" s="35">
        <v>0</v>
      </c>
      <c r="K31" s="36">
        <v>0</v>
      </c>
      <c r="L31" s="37">
        <v>0</v>
      </c>
      <c r="M31" s="38">
        <v>0</v>
      </c>
      <c r="N31" s="38">
        <v>0</v>
      </c>
      <c r="O31" s="39">
        <f t="shared" si="50"/>
        <v>0</v>
      </c>
      <c r="P31" s="40">
        <v>0</v>
      </c>
      <c r="Q31" s="28">
        <v>0</v>
      </c>
      <c r="R31" s="29">
        <v>0</v>
      </c>
      <c r="S31" s="30">
        <v>0</v>
      </c>
      <c r="T31" s="31">
        <v>0</v>
      </c>
      <c r="U31" s="32">
        <f t="shared" si="51"/>
        <v>0</v>
      </c>
      <c r="V31" s="33">
        <v>0</v>
      </c>
      <c r="W31" s="34">
        <v>0</v>
      </c>
      <c r="X31" s="35">
        <v>0</v>
      </c>
      <c r="Y31" s="36">
        <v>0</v>
      </c>
      <c r="Z31" s="37">
        <v>0</v>
      </c>
      <c r="AA31" s="38">
        <v>0</v>
      </c>
      <c r="AB31" s="38">
        <v>0</v>
      </c>
      <c r="AC31" s="39">
        <f t="shared" si="52"/>
        <v>0</v>
      </c>
      <c r="AD31" s="45">
        <v>0</v>
      </c>
      <c r="AE31" s="28">
        <v>0</v>
      </c>
      <c r="AF31" s="41">
        <v>0</v>
      </c>
      <c r="AG31" s="32">
        <f t="shared" si="53"/>
        <v>0</v>
      </c>
      <c r="AH31" s="35">
        <v>0</v>
      </c>
      <c r="AI31" s="43">
        <v>0</v>
      </c>
      <c r="AJ31" s="35">
        <v>0</v>
      </c>
      <c r="AK31" s="43">
        <v>0</v>
      </c>
      <c r="AL31" s="44">
        <v>0</v>
      </c>
      <c r="AM31" s="38">
        <v>0</v>
      </c>
      <c r="AN31" s="38">
        <v>0</v>
      </c>
      <c r="AO31" s="39">
        <f t="shared" si="54"/>
        <v>0</v>
      </c>
      <c r="AP31" s="40">
        <f t="shared" si="55"/>
        <v>0</v>
      </c>
      <c r="AQ31" s="28">
        <v>0</v>
      </c>
      <c r="AR31" s="41">
        <v>0</v>
      </c>
      <c r="AS31" s="30">
        <f t="shared" si="56"/>
        <v>0</v>
      </c>
      <c r="AT31" s="30">
        <f t="shared" si="57"/>
        <v>0</v>
      </c>
      <c r="AU31" s="42">
        <f t="shared" si="58"/>
        <v>0</v>
      </c>
      <c r="AV31" s="33">
        <f t="shared" si="59"/>
        <v>0</v>
      </c>
      <c r="AW31" s="46">
        <f t="shared" si="60"/>
        <v>0</v>
      </c>
      <c r="AX31" s="33">
        <f t="shared" si="61"/>
        <v>0</v>
      </c>
      <c r="AY31" s="46">
        <f t="shared" si="62"/>
        <v>0</v>
      </c>
      <c r="AZ31" s="48">
        <f t="shared" si="63"/>
        <v>0</v>
      </c>
      <c r="BA31" s="49">
        <f t="shared" si="64"/>
        <v>0</v>
      </c>
      <c r="BB31" s="49">
        <f t="shared" si="65"/>
        <v>0</v>
      </c>
      <c r="BC31" s="50">
        <f t="shared" si="66"/>
        <v>0</v>
      </c>
      <c r="BD31" s="51"/>
    </row>
    <row r="32" spans="1:56" s="52" customFormat="1" ht="21.75" customHeight="1" x14ac:dyDescent="0.15">
      <c r="A32" s="26">
        <v>46167</v>
      </c>
      <c r="B32" s="27">
        <v>0</v>
      </c>
      <c r="C32" s="28">
        <v>0</v>
      </c>
      <c r="D32" s="29">
        <v>0</v>
      </c>
      <c r="E32" s="30">
        <v>0</v>
      </c>
      <c r="F32" s="31">
        <v>0</v>
      </c>
      <c r="G32" s="32">
        <f t="shared" si="49"/>
        <v>0</v>
      </c>
      <c r="H32" s="33">
        <v>0</v>
      </c>
      <c r="I32" s="34">
        <v>0</v>
      </c>
      <c r="J32" s="35">
        <v>0</v>
      </c>
      <c r="K32" s="36">
        <v>0</v>
      </c>
      <c r="L32" s="37">
        <v>0</v>
      </c>
      <c r="M32" s="38">
        <v>0</v>
      </c>
      <c r="N32" s="38">
        <v>0</v>
      </c>
      <c r="O32" s="39">
        <f t="shared" si="50"/>
        <v>0</v>
      </c>
      <c r="P32" s="40">
        <v>0</v>
      </c>
      <c r="Q32" s="28">
        <v>0</v>
      </c>
      <c r="R32" s="29">
        <v>0</v>
      </c>
      <c r="S32" s="30">
        <v>0</v>
      </c>
      <c r="T32" s="31">
        <v>0</v>
      </c>
      <c r="U32" s="32">
        <f t="shared" si="51"/>
        <v>0</v>
      </c>
      <c r="V32" s="33">
        <v>0</v>
      </c>
      <c r="W32" s="34">
        <v>0</v>
      </c>
      <c r="X32" s="35">
        <v>0</v>
      </c>
      <c r="Y32" s="36">
        <v>0</v>
      </c>
      <c r="Z32" s="37">
        <v>0</v>
      </c>
      <c r="AA32" s="38">
        <v>0</v>
      </c>
      <c r="AB32" s="38">
        <v>0</v>
      </c>
      <c r="AC32" s="39">
        <f t="shared" si="52"/>
        <v>0</v>
      </c>
      <c r="AD32" s="45">
        <v>0</v>
      </c>
      <c r="AE32" s="28">
        <v>0</v>
      </c>
      <c r="AF32" s="41">
        <v>0</v>
      </c>
      <c r="AG32" s="32">
        <f t="shared" si="53"/>
        <v>0</v>
      </c>
      <c r="AH32" s="35">
        <v>0</v>
      </c>
      <c r="AI32" s="43">
        <v>0</v>
      </c>
      <c r="AJ32" s="35">
        <v>0</v>
      </c>
      <c r="AK32" s="43">
        <v>0</v>
      </c>
      <c r="AL32" s="44">
        <v>0</v>
      </c>
      <c r="AM32" s="38">
        <v>0</v>
      </c>
      <c r="AN32" s="38">
        <v>0</v>
      </c>
      <c r="AO32" s="39">
        <f t="shared" si="54"/>
        <v>0</v>
      </c>
      <c r="AP32" s="40">
        <f t="shared" si="55"/>
        <v>0</v>
      </c>
      <c r="AQ32" s="28">
        <v>0</v>
      </c>
      <c r="AR32" s="41">
        <v>0</v>
      </c>
      <c r="AS32" s="30">
        <f t="shared" si="56"/>
        <v>0</v>
      </c>
      <c r="AT32" s="30">
        <f t="shared" si="57"/>
        <v>0</v>
      </c>
      <c r="AU32" s="42">
        <f t="shared" si="58"/>
        <v>0</v>
      </c>
      <c r="AV32" s="33">
        <f t="shared" si="59"/>
        <v>0</v>
      </c>
      <c r="AW32" s="46">
        <f t="shared" si="60"/>
        <v>0</v>
      </c>
      <c r="AX32" s="33">
        <f t="shared" si="61"/>
        <v>0</v>
      </c>
      <c r="AY32" s="46">
        <f t="shared" si="62"/>
        <v>0</v>
      </c>
      <c r="AZ32" s="48">
        <f t="shared" si="63"/>
        <v>0</v>
      </c>
      <c r="BA32" s="49">
        <f t="shared" si="64"/>
        <v>0</v>
      </c>
      <c r="BB32" s="49">
        <f t="shared" si="65"/>
        <v>0</v>
      </c>
      <c r="BC32" s="50">
        <f t="shared" si="66"/>
        <v>0</v>
      </c>
      <c r="BD32" s="51"/>
    </row>
    <row r="33" spans="1:56" s="52" customFormat="1" ht="21.75" customHeight="1" x14ac:dyDescent="0.15">
      <c r="A33" s="53">
        <v>46168</v>
      </c>
      <c r="B33" s="27">
        <v>141624</v>
      </c>
      <c r="C33" s="28">
        <v>145000</v>
      </c>
      <c r="D33" s="29">
        <f>B33/C33</f>
        <v>0.97671724137931037</v>
      </c>
      <c r="E33" s="30">
        <v>161072</v>
      </c>
      <c r="F33" s="31">
        <v>289350</v>
      </c>
      <c r="G33" s="32">
        <f t="shared" si="49"/>
        <v>592046</v>
      </c>
      <c r="H33" s="33">
        <v>0</v>
      </c>
      <c r="I33" s="34">
        <v>0</v>
      </c>
      <c r="J33" s="35">
        <v>0</v>
      </c>
      <c r="K33" s="36">
        <v>0</v>
      </c>
      <c r="L33" s="37">
        <v>111299</v>
      </c>
      <c r="M33" s="38">
        <v>30325</v>
      </c>
      <c r="N33" s="38">
        <v>0</v>
      </c>
      <c r="O33" s="39">
        <f t="shared" si="50"/>
        <v>141624</v>
      </c>
      <c r="P33" s="40">
        <v>138098</v>
      </c>
      <c r="Q33" s="28">
        <v>70000</v>
      </c>
      <c r="R33" s="29">
        <f>P33/Q33</f>
        <v>1.9728285714285714</v>
      </c>
      <c r="S33" s="30">
        <v>0</v>
      </c>
      <c r="T33" s="31">
        <v>0</v>
      </c>
      <c r="U33" s="32">
        <f t="shared" si="51"/>
        <v>138098</v>
      </c>
      <c r="V33" s="33">
        <v>0</v>
      </c>
      <c r="W33" s="34">
        <v>0</v>
      </c>
      <c r="X33" s="35">
        <v>0</v>
      </c>
      <c r="Y33" s="36">
        <v>0</v>
      </c>
      <c r="Z33" s="37">
        <v>42000</v>
      </c>
      <c r="AA33" s="38">
        <v>90972</v>
      </c>
      <c r="AB33" s="38">
        <v>5126</v>
      </c>
      <c r="AC33" s="39">
        <f t="shared" si="52"/>
        <v>138098</v>
      </c>
      <c r="AD33" s="45">
        <v>172636</v>
      </c>
      <c r="AE33" s="28">
        <v>200000</v>
      </c>
      <c r="AF33" s="41">
        <f>AD33/AE33</f>
        <v>0.86317999999999995</v>
      </c>
      <c r="AG33" s="32">
        <f t="shared" si="53"/>
        <v>172636</v>
      </c>
      <c r="AH33" s="35">
        <v>0</v>
      </c>
      <c r="AI33" s="43">
        <v>0</v>
      </c>
      <c r="AJ33" s="35">
        <v>15946</v>
      </c>
      <c r="AK33" s="43">
        <v>0</v>
      </c>
      <c r="AL33" s="44">
        <v>135612</v>
      </c>
      <c r="AM33" s="38">
        <v>0</v>
      </c>
      <c r="AN33" s="38">
        <v>37024</v>
      </c>
      <c r="AO33" s="39">
        <f t="shared" si="54"/>
        <v>172636</v>
      </c>
      <c r="AP33" s="40">
        <f t="shared" si="55"/>
        <v>452358</v>
      </c>
      <c r="AQ33" s="28">
        <v>415000</v>
      </c>
      <c r="AR33" s="41">
        <f>AP33/AQ33</f>
        <v>1.0900192771084338</v>
      </c>
      <c r="AS33" s="30">
        <f t="shared" si="56"/>
        <v>161072</v>
      </c>
      <c r="AT33" s="30">
        <f t="shared" si="57"/>
        <v>289350</v>
      </c>
      <c r="AU33" s="42">
        <f t="shared" si="58"/>
        <v>902780</v>
      </c>
      <c r="AV33" s="33">
        <f t="shared" si="59"/>
        <v>0</v>
      </c>
      <c r="AW33" s="46">
        <f t="shared" si="60"/>
        <v>0</v>
      </c>
      <c r="AX33" s="33">
        <f t="shared" si="61"/>
        <v>15946</v>
      </c>
      <c r="AY33" s="46">
        <f t="shared" si="62"/>
        <v>0</v>
      </c>
      <c r="AZ33" s="48">
        <f t="shared" si="63"/>
        <v>288911</v>
      </c>
      <c r="BA33" s="49">
        <f t="shared" si="64"/>
        <v>121297</v>
      </c>
      <c r="BB33" s="49">
        <f t="shared" si="65"/>
        <v>42150</v>
      </c>
      <c r="BC33" s="50">
        <f t="shared" si="66"/>
        <v>452358</v>
      </c>
      <c r="BD33" s="51"/>
    </row>
    <row r="34" spans="1:56" s="52" customFormat="1" ht="21.75" customHeight="1" x14ac:dyDescent="0.15">
      <c r="A34" s="53">
        <v>46169</v>
      </c>
      <c r="B34" s="27">
        <v>86335</v>
      </c>
      <c r="C34" s="28">
        <v>145000</v>
      </c>
      <c r="D34" s="29">
        <f>B34/C34</f>
        <v>0.59541379310344833</v>
      </c>
      <c r="E34" s="30">
        <v>86601</v>
      </c>
      <c r="F34" s="31">
        <v>100400</v>
      </c>
      <c r="G34" s="32">
        <f t="shared" si="49"/>
        <v>273336</v>
      </c>
      <c r="H34" s="33">
        <v>0</v>
      </c>
      <c r="I34" s="34">
        <v>0</v>
      </c>
      <c r="J34" s="35">
        <v>0</v>
      </c>
      <c r="K34" s="36">
        <v>14060</v>
      </c>
      <c r="L34" s="37">
        <v>66721</v>
      </c>
      <c r="M34" s="38">
        <v>0</v>
      </c>
      <c r="N34" s="38">
        <v>19614</v>
      </c>
      <c r="O34" s="39">
        <f t="shared" si="50"/>
        <v>86335</v>
      </c>
      <c r="P34" s="40">
        <v>97107</v>
      </c>
      <c r="Q34" s="28">
        <v>70000</v>
      </c>
      <c r="R34" s="29">
        <f>P34/Q34</f>
        <v>1.3872428571428572</v>
      </c>
      <c r="S34" s="30">
        <v>16586</v>
      </c>
      <c r="T34" s="31">
        <v>0</v>
      </c>
      <c r="U34" s="32">
        <f t="shared" si="51"/>
        <v>113693</v>
      </c>
      <c r="V34" s="33">
        <v>0</v>
      </c>
      <c r="W34" s="34">
        <v>0</v>
      </c>
      <c r="X34" s="35">
        <v>0</v>
      </c>
      <c r="Y34" s="36">
        <v>0</v>
      </c>
      <c r="Z34" s="37">
        <v>0</v>
      </c>
      <c r="AA34" s="38">
        <v>97107</v>
      </c>
      <c r="AB34" s="38">
        <v>0</v>
      </c>
      <c r="AC34" s="39">
        <f t="shared" si="52"/>
        <v>97107</v>
      </c>
      <c r="AD34" s="45">
        <v>177658</v>
      </c>
      <c r="AE34" s="28">
        <v>200000</v>
      </c>
      <c r="AF34" s="41">
        <f>AD34/AE34</f>
        <v>0.88829000000000002</v>
      </c>
      <c r="AG34" s="32">
        <f t="shared" si="53"/>
        <v>177658</v>
      </c>
      <c r="AH34" s="35">
        <v>0</v>
      </c>
      <c r="AI34" s="43">
        <v>0</v>
      </c>
      <c r="AJ34" s="35">
        <v>0</v>
      </c>
      <c r="AK34" s="43">
        <v>0</v>
      </c>
      <c r="AL34" s="44">
        <v>177658</v>
      </c>
      <c r="AM34" s="38">
        <v>0</v>
      </c>
      <c r="AN34" s="38">
        <v>0</v>
      </c>
      <c r="AO34" s="39">
        <f t="shared" si="54"/>
        <v>177658</v>
      </c>
      <c r="AP34" s="40">
        <f t="shared" si="55"/>
        <v>361100</v>
      </c>
      <c r="AQ34" s="28">
        <v>415000</v>
      </c>
      <c r="AR34" s="41">
        <f>AP34/AQ34</f>
        <v>0.87012048192771085</v>
      </c>
      <c r="AS34" s="30">
        <f t="shared" si="56"/>
        <v>103187</v>
      </c>
      <c r="AT34" s="30">
        <f t="shared" si="57"/>
        <v>100400</v>
      </c>
      <c r="AU34" s="42">
        <f t="shared" si="58"/>
        <v>564687</v>
      </c>
      <c r="AV34" s="33">
        <f t="shared" si="59"/>
        <v>0</v>
      </c>
      <c r="AW34" s="46">
        <f t="shared" si="60"/>
        <v>0</v>
      </c>
      <c r="AX34" s="33">
        <f t="shared" si="61"/>
        <v>0</v>
      </c>
      <c r="AY34" s="46">
        <f t="shared" si="62"/>
        <v>14060</v>
      </c>
      <c r="AZ34" s="48">
        <f t="shared" si="63"/>
        <v>244379</v>
      </c>
      <c r="BA34" s="49">
        <f t="shared" si="64"/>
        <v>97107</v>
      </c>
      <c r="BB34" s="49">
        <f t="shared" si="65"/>
        <v>19614</v>
      </c>
      <c r="BC34" s="50">
        <f t="shared" si="66"/>
        <v>361100</v>
      </c>
      <c r="BD34" s="51"/>
    </row>
    <row r="35" spans="1:56" s="52" customFormat="1" ht="21.75" customHeight="1" x14ac:dyDescent="0.15">
      <c r="A35" s="53">
        <v>46170</v>
      </c>
      <c r="B35" s="27">
        <v>27028</v>
      </c>
      <c r="C35" s="28">
        <v>145000</v>
      </c>
      <c r="D35" s="29">
        <f>B35/C35</f>
        <v>0.18640000000000001</v>
      </c>
      <c r="E35" s="30">
        <v>161072</v>
      </c>
      <c r="F35" s="31">
        <v>298850</v>
      </c>
      <c r="G35" s="32">
        <f t="shared" si="49"/>
        <v>486950</v>
      </c>
      <c r="H35" s="33">
        <v>0</v>
      </c>
      <c r="I35" s="34">
        <v>0</v>
      </c>
      <c r="J35" s="35">
        <v>0</v>
      </c>
      <c r="K35" s="36">
        <v>0</v>
      </c>
      <c r="L35" s="37">
        <v>0</v>
      </c>
      <c r="M35" s="38">
        <v>27028</v>
      </c>
      <c r="N35" s="38">
        <v>0</v>
      </c>
      <c r="O35" s="39">
        <f t="shared" si="50"/>
        <v>27028</v>
      </c>
      <c r="P35" s="40">
        <v>182488</v>
      </c>
      <c r="Q35" s="28">
        <v>70000</v>
      </c>
      <c r="R35" s="29">
        <f>P35/Q35</f>
        <v>2.6069714285714287</v>
      </c>
      <c r="S35" s="30">
        <v>0</v>
      </c>
      <c r="T35" s="31">
        <v>0</v>
      </c>
      <c r="U35" s="32">
        <f t="shared" si="51"/>
        <v>182488</v>
      </c>
      <c r="V35" s="33">
        <v>0</v>
      </c>
      <c r="W35" s="34">
        <v>0</v>
      </c>
      <c r="X35" s="35">
        <v>0</v>
      </c>
      <c r="Y35" s="36">
        <v>0</v>
      </c>
      <c r="Z35" s="37">
        <v>85333</v>
      </c>
      <c r="AA35" s="38">
        <v>85190</v>
      </c>
      <c r="AB35" s="38">
        <v>11965</v>
      </c>
      <c r="AC35" s="39">
        <f t="shared" si="52"/>
        <v>182488</v>
      </c>
      <c r="AD35" s="45">
        <v>79198</v>
      </c>
      <c r="AE35" s="28">
        <v>200000</v>
      </c>
      <c r="AF35" s="41">
        <f>AD35/AE35</f>
        <v>0.39599000000000001</v>
      </c>
      <c r="AG35" s="32">
        <f t="shared" si="53"/>
        <v>79198</v>
      </c>
      <c r="AH35" s="35">
        <v>0</v>
      </c>
      <c r="AI35" s="43">
        <v>0</v>
      </c>
      <c r="AJ35" s="35">
        <v>12896</v>
      </c>
      <c r="AK35" s="43">
        <v>0</v>
      </c>
      <c r="AL35" s="44">
        <v>79198</v>
      </c>
      <c r="AM35" s="38">
        <v>0</v>
      </c>
      <c r="AN35" s="38">
        <v>0</v>
      </c>
      <c r="AO35" s="39">
        <f t="shared" si="54"/>
        <v>79198</v>
      </c>
      <c r="AP35" s="40">
        <f t="shared" si="55"/>
        <v>288714</v>
      </c>
      <c r="AQ35" s="28">
        <v>415000</v>
      </c>
      <c r="AR35" s="41">
        <f>AP35/AQ35</f>
        <v>0.69569638554216873</v>
      </c>
      <c r="AS35" s="30">
        <f t="shared" si="56"/>
        <v>161072</v>
      </c>
      <c r="AT35" s="30">
        <f t="shared" si="57"/>
        <v>298850</v>
      </c>
      <c r="AU35" s="42">
        <f t="shared" si="58"/>
        <v>748636</v>
      </c>
      <c r="AV35" s="33">
        <f t="shared" si="59"/>
        <v>0</v>
      </c>
      <c r="AW35" s="46">
        <f t="shared" si="60"/>
        <v>0</v>
      </c>
      <c r="AX35" s="33">
        <f t="shared" si="61"/>
        <v>12896</v>
      </c>
      <c r="AY35" s="46">
        <f t="shared" si="62"/>
        <v>0</v>
      </c>
      <c r="AZ35" s="48">
        <f t="shared" si="63"/>
        <v>164531</v>
      </c>
      <c r="BA35" s="49">
        <f t="shared" si="64"/>
        <v>112218</v>
      </c>
      <c r="BB35" s="49">
        <f t="shared" si="65"/>
        <v>11965</v>
      </c>
      <c r="BC35" s="50">
        <f t="shared" si="66"/>
        <v>288714</v>
      </c>
      <c r="BD35" s="51"/>
    </row>
    <row r="36" spans="1:56" s="52" customFormat="1" ht="21.75" customHeight="1" x14ac:dyDescent="0.15">
      <c r="A36" s="53">
        <v>46171</v>
      </c>
      <c r="B36" s="27">
        <v>132334</v>
      </c>
      <c r="C36" s="28">
        <v>145000</v>
      </c>
      <c r="D36" s="29">
        <f>B36/C36</f>
        <v>0.91264827586206898</v>
      </c>
      <c r="E36" s="30">
        <v>100506</v>
      </c>
      <c r="F36" s="31">
        <v>242000</v>
      </c>
      <c r="G36" s="32">
        <f t="shared" si="49"/>
        <v>474840</v>
      </c>
      <c r="H36" s="33">
        <v>0</v>
      </c>
      <c r="I36" s="34">
        <v>0</v>
      </c>
      <c r="J36" s="35">
        <v>0</v>
      </c>
      <c r="K36" s="36">
        <v>0</v>
      </c>
      <c r="L36" s="37">
        <v>73124</v>
      </c>
      <c r="M36" s="38">
        <v>59210</v>
      </c>
      <c r="N36" s="38">
        <v>0</v>
      </c>
      <c r="O36" s="39">
        <f t="shared" si="50"/>
        <v>132334</v>
      </c>
      <c r="P36" s="40">
        <v>155849</v>
      </c>
      <c r="Q36" s="28">
        <v>70000</v>
      </c>
      <c r="R36" s="29">
        <f>P36/Q36</f>
        <v>2.2264142857142857</v>
      </c>
      <c r="S36" s="30">
        <v>0</v>
      </c>
      <c r="T36" s="31">
        <v>0</v>
      </c>
      <c r="U36" s="32">
        <f t="shared" si="51"/>
        <v>155849</v>
      </c>
      <c r="V36" s="33">
        <v>0</v>
      </c>
      <c r="W36" s="34">
        <v>0</v>
      </c>
      <c r="X36" s="35">
        <v>0</v>
      </c>
      <c r="Y36" s="36">
        <v>0</v>
      </c>
      <c r="Z36" s="37">
        <v>60561</v>
      </c>
      <c r="AA36" s="38">
        <v>95288</v>
      </c>
      <c r="AB36" s="38">
        <v>0</v>
      </c>
      <c r="AC36" s="39">
        <f t="shared" si="52"/>
        <v>155849</v>
      </c>
      <c r="AD36" s="45">
        <v>161072</v>
      </c>
      <c r="AE36" s="28">
        <v>200000</v>
      </c>
      <c r="AF36" s="41">
        <f>AD36/AE36</f>
        <v>0.80535999999999996</v>
      </c>
      <c r="AG36" s="32">
        <f t="shared" si="53"/>
        <v>161072</v>
      </c>
      <c r="AH36" s="35">
        <v>0</v>
      </c>
      <c r="AI36" s="43">
        <v>0</v>
      </c>
      <c r="AJ36" s="35">
        <v>0</v>
      </c>
      <c r="AK36" s="43">
        <v>0</v>
      </c>
      <c r="AL36" s="44">
        <v>161072</v>
      </c>
      <c r="AM36" s="38">
        <v>0</v>
      </c>
      <c r="AN36" s="38">
        <v>0</v>
      </c>
      <c r="AO36" s="39">
        <f t="shared" si="54"/>
        <v>161072</v>
      </c>
      <c r="AP36" s="40">
        <f t="shared" si="55"/>
        <v>449255</v>
      </c>
      <c r="AQ36" s="28">
        <v>415000</v>
      </c>
      <c r="AR36" s="41">
        <f>AP36/AQ36</f>
        <v>1.0825421686746988</v>
      </c>
      <c r="AS36" s="30">
        <f t="shared" si="56"/>
        <v>100506</v>
      </c>
      <c r="AT36" s="30">
        <f t="shared" si="57"/>
        <v>242000</v>
      </c>
      <c r="AU36" s="42">
        <f t="shared" si="58"/>
        <v>791761</v>
      </c>
      <c r="AV36" s="33">
        <f t="shared" si="59"/>
        <v>0</v>
      </c>
      <c r="AW36" s="46">
        <f t="shared" si="60"/>
        <v>0</v>
      </c>
      <c r="AX36" s="33">
        <f t="shared" si="61"/>
        <v>0</v>
      </c>
      <c r="AY36" s="46">
        <f t="shared" si="62"/>
        <v>0</v>
      </c>
      <c r="AZ36" s="48">
        <f t="shared" si="63"/>
        <v>294757</v>
      </c>
      <c r="BA36" s="49">
        <f t="shared" si="64"/>
        <v>154498</v>
      </c>
      <c r="BB36" s="49">
        <f t="shared" si="65"/>
        <v>0</v>
      </c>
      <c r="BC36" s="50">
        <f t="shared" si="66"/>
        <v>449255</v>
      </c>
      <c r="BD36" s="51"/>
    </row>
    <row r="37" spans="1:56" s="52" customFormat="1" ht="21.75" customHeight="1" x14ac:dyDescent="0.15">
      <c r="A37" s="26">
        <v>46172</v>
      </c>
      <c r="B37" s="27">
        <v>0</v>
      </c>
      <c r="C37" s="28">
        <v>0</v>
      </c>
      <c r="D37" s="29">
        <v>0</v>
      </c>
      <c r="E37" s="30">
        <v>0</v>
      </c>
      <c r="F37" s="31">
        <v>0</v>
      </c>
      <c r="G37" s="32">
        <f t="shared" ref="G37:G38" si="67">B37+E37+F37</f>
        <v>0</v>
      </c>
      <c r="H37" s="33">
        <v>0</v>
      </c>
      <c r="I37" s="34">
        <v>0</v>
      </c>
      <c r="J37" s="35">
        <v>0</v>
      </c>
      <c r="K37" s="36">
        <v>0</v>
      </c>
      <c r="L37" s="37">
        <v>0</v>
      </c>
      <c r="M37" s="38">
        <v>0</v>
      </c>
      <c r="N37" s="38">
        <v>0</v>
      </c>
      <c r="O37" s="39">
        <f t="shared" ref="O37:O38" si="68">SUM(L37:N37)</f>
        <v>0</v>
      </c>
      <c r="P37" s="40">
        <v>0</v>
      </c>
      <c r="Q37" s="28">
        <v>0</v>
      </c>
      <c r="R37" s="29">
        <v>0</v>
      </c>
      <c r="S37" s="30">
        <v>0</v>
      </c>
      <c r="T37" s="31">
        <v>0</v>
      </c>
      <c r="U37" s="32">
        <f t="shared" ref="U37:U38" si="69">P37+S37+T37</f>
        <v>0</v>
      </c>
      <c r="V37" s="33">
        <v>0</v>
      </c>
      <c r="W37" s="34">
        <v>0</v>
      </c>
      <c r="X37" s="35">
        <v>0</v>
      </c>
      <c r="Y37" s="36">
        <v>0</v>
      </c>
      <c r="Z37" s="37">
        <v>0</v>
      </c>
      <c r="AA37" s="38">
        <v>0</v>
      </c>
      <c r="AB37" s="38">
        <v>0</v>
      </c>
      <c r="AC37" s="39">
        <f t="shared" ref="AC37:AC38" si="70">SUM(Z37:AB37)</f>
        <v>0</v>
      </c>
      <c r="AD37" s="45">
        <v>0</v>
      </c>
      <c r="AE37" s="28">
        <v>0</v>
      </c>
      <c r="AF37" s="41">
        <v>0</v>
      </c>
      <c r="AG37" s="32">
        <f t="shared" ref="AG37:AG38" si="71">AD37</f>
        <v>0</v>
      </c>
      <c r="AH37" s="35">
        <v>0</v>
      </c>
      <c r="AI37" s="43">
        <v>0</v>
      </c>
      <c r="AJ37" s="35">
        <v>0</v>
      </c>
      <c r="AK37" s="43">
        <v>0</v>
      </c>
      <c r="AL37" s="44">
        <v>0</v>
      </c>
      <c r="AM37" s="38">
        <v>0</v>
      </c>
      <c r="AN37" s="38">
        <v>0</v>
      </c>
      <c r="AO37" s="39">
        <f t="shared" ref="AO37:AO38" si="72">SUM(AL37:AN37)</f>
        <v>0</v>
      </c>
      <c r="AP37" s="40">
        <f t="shared" ref="AP37:AP38" si="73">AD37+P37+B37</f>
        <v>0</v>
      </c>
      <c r="AQ37" s="28">
        <v>0</v>
      </c>
      <c r="AR37" s="41">
        <v>0</v>
      </c>
      <c r="AS37" s="30">
        <f t="shared" ref="AS37:AS38" si="74">E37+S37</f>
        <v>0</v>
      </c>
      <c r="AT37" s="30">
        <f t="shared" ref="AT37:AT38" si="75">F37+T37</f>
        <v>0</v>
      </c>
      <c r="AU37" s="42">
        <f t="shared" ref="AU37:AU38" si="76">AP37+AS37+AT37</f>
        <v>0</v>
      </c>
      <c r="AV37" s="33">
        <f t="shared" ref="AV37:AV38" si="77">SUM(H37,V37,AH37)</f>
        <v>0</v>
      </c>
      <c r="AW37" s="46">
        <f t="shared" ref="AW37:AW38" si="78">SUM(I37,W37,AI37)</f>
        <v>0</v>
      </c>
      <c r="AX37" s="33">
        <f t="shared" ref="AX37:AX38" si="79">SUM(J37,X37,AJ37)</f>
        <v>0</v>
      </c>
      <c r="AY37" s="46">
        <f t="shared" ref="AY37:AY38" si="80">SUM(K37,Y37,AK37)</f>
        <v>0</v>
      </c>
      <c r="AZ37" s="48">
        <f t="shared" ref="AZ37:AZ38" si="81">L37+Z37+AL37</f>
        <v>0</v>
      </c>
      <c r="BA37" s="49">
        <f t="shared" ref="BA37:BA38" si="82">M37+AA37+AM37</f>
        <v>0</v>
      </c>
      <c r="BB37" s="49">
        <f t="shared" ref="BB37:BB38" si="83">N37+AB37+AN37</f>
        <v>0</v>
      </c>
      <c r="BC37" s="50">
        <f t="shared" ref="BC37:BC38" si="84">SUM(AZ37:BB37)</f>
        <v>0</v>
      </c>
      <c r="BD37" s="51"/>
    </row>
    <row r="38" spans="1:56" s="52" customFormat="1" ht="21.75" customHeight="1" thickBot="1" x14ac:dyDescent="0.2">
      <c r="A38" s="26">
        <v>46173</v>
      </c>
      <c r="B38" s="27">
        <v>0</v>
      </c>
      <c r="C38" s="28">
        <v>0</v>
      </c>
      <c r="D38" s="29">
        <v>0</v>
      </c>
      <c r="E38" s="30">
        <v>0</v>
      </c>
      <c r="F38" s="31">
        <v>0</v>
      </c>
      <c r="G38" s="32">
        <f t="shared" si="67"/>
        <v>0</v>
      </c>
      <c r="H38" s="33">
        <v>0</v>
      </c>
      <c r="I38" s="34">
        <v>0</v>
      </c>
      <c r="J38" s="35">
        <v>0</v>
      </c>
      <c r="K38" s="36">
        <v>0</v>
      </c>
      <c r="L38" s="37">
        <v>0</v>
      </c>
      <c r="M38" s="38">
        <v>0</v>
      </c>
      <c r="N38" s="38">
        <v>0</v>
      </c>
      <c r="O38" s="39">
        <f t="shared" si="68"/>
        <v>0</v>
      </c>
      <c r="P38" s="40">
        <v>0</v>
      </c>
      <c r="Q38" s="28">
        <v>0</v>
      </c>
      <c r="R38" s="29">
        <v>0</v>
      </c>
      <c r="S38" s="30">
        <v>0</v>
      </c>
      <c r="T38" s="31">
        <v>0</v>
      </c>
      <c r="U38" s="32">
        <f t="shared" si="69"/>
        <v>0</v>
      </c>
      <c r="V38" s="33">
        <v>0</v>
      </c>
      <c r="W38" s="34">
        <v>0</v>
      </c>
      <c r="X38" s="35">
        <v>0</v>
      </c>
      <c r="Y38" s="36">
        <v>0</v>
      </c>
      <c r="Z38" s="37">
        <v>0</v>
      </c>
      <c r="AA38" s="38">
        <v>0</v>
      </c>
      <c r="AB38" s="38">
        <v>0</v>
      </c>
      <c r="AC38" s="39">
        <f t="shared" si="70"/>
        <v>0</v>
      </c>
      <c r="AD38" s="45">
        <v>0</v>
      </c>
      <c r="AE38" s="28">
        <v>0</v>
      </c>
      <c r="AF38" s="41">
        <v>0</v>
      </c>
      <c r="AG38" s="32">
        <f t="shared" si="71"/>
        <v>0</v>
      </c>
      <c r="AH38" s="35">
        <v>0</v>
      </c>
      <c r="AI38" s="43">
        <v>0</v>
      </c>
      <c r="AJ38" s="35">
        <v>0</v>
      </c>
      <c r="AK38" s="43">
        <v>0</v>
      </c>
      <c r="AL38" s="44">
        <v>0</v>
      </c>
      <c r="AM38" s="38">
        <v>0</v>
      </c>
      <c r="AN38" s="38">
        <v>0</v>
      </c>
      <c r="AO38" s="39">
        <f t="shared" si="72"/>
        <v>0</v>
      </c>
      <c r="AP38" s="40">
        <f t="shared" si="73"/>
        <v>0</v>
      </c>
      <c r="AQ38" s="28">
        <v>0</v>
      </c>
      <c r="AR38" s="41">
        <v>0</v>
      </c>
      <c r="AS38" s="30">
        <f t="shared" si="74"/>
        <v>0</v>
      </c>
      <c r="AT38" s="30">
        <f t="shared" si="75"/>
        <v>0</v>
      </c>
      <c r="AU38" s="42">
        <f t="shared" si="76"/>
        <v>0</v>
      </c>
      <c r="AV38" s="33">
        <f t="shared" si="77"/>
        <v>0</v>
      </c>
      <c r="AW38" s="46">
        <f t="shared" si="78"/>
        <v>0</v>
      </c>
      <c r="AX38" s="33">
        <f t="shared" si="79"/>
        <v>0</v>
      </c>
      <c r="AY38" s="46">
        <f t="shared" si="80"/>
        <v>0</v>
      </c>
      <c r="AZ38" s="48">
        <f t="shared" si="81"/>
        <v>0</v>
      </c>
      <c r="BA38" s="49">
        <f t="shared" si="82"/>
        <v>0</v>
      </c>
      <c r="BB38" s="49">
        <f t="shared" si="83"/>
        <v>0</v>
      </c>
      <c r="BC38" s="50">
        <f t="shared" si="84"/>
        <v>0</v>
      </c>
      <c r="BD38" s="51"/>
    </row>
    <row r="39" spans="1:56" s="10" customFormat="1" ht="21.75" customHeight="1" thickTop="1" thickBot="1" x14ac:dyDescent="0.2">
      <c r="A39" s="54" t="s">
        <v>26</v>
      </c>
      <c r="B39" s="55">
        <f>SUM(B8:B38)</f>
        <v>1853480</v>
      </c>
      <c r="C39" s="56">
        <f>SUM(C8:C38)</f>
        <v>2610000</v>
      </c>
      <c r="D39" s="57">
        <f>B39/C39</f>
        <v>0.71014559386973175</v>
      </c>
      <c r="E39" s="58">
        <f>SUM(E8:E38)</f>
        <v>2338263</v>
      </c>
      <c r="F39" s="59">
        <f>SUM(F8:F38)</f>
        <v>3670382</v>
      </c>
      <c r="G39" s="60">
        <f>B39+E39+F39</f>
        <v>7862125</v>
      </c>
      <c r="H39" s="61">
        <f t="shared" ref="H39:N39" si="85">SUM(H8:H38)</f>
        <v>0</v>
      </c>
      <c r="I39" s="62">
        <f t="shared" si="85"/>
        <v>0</v>
      </c>
      <c r="J39" s="61">
        <f t="shared" si="85"/>
        <v>20787</v>
      </c>
      <c r="K39" s="62">
        <f t="shared" si="85"/>
        <v>150907</v>
      </c>
      <c r="L39" s="63">
        <f t="shared" si="85"/>
        <v>1229173</v>
      </c>
      <c r="M39" s="63">
        <f t="shared" si="85"/>
        <v>556858</v>
      </c>
      <c r="N39" s="63">
        <f t="shared" si="85"/>
        <v>67449</v>
      </c>
      <c r="O39" s="64">
        <f>SUM(L39:N39)</f>
        <v>1853480</v>
      </c>
      <c r="P39" s="65">
        <f>SUM(P8:P38)</f>
        <v>1999938</v>
      </c>
      <c r="Q39" s="56">
        <f>SUM(Q8:Q38)</f>
        <v>1260000</v>
      </c>
      <c r="R39" s="57">
        <f>P39/Q39</f>
        <v>1.5872523809523809</v>
      </c>
      <c r="S39" s="58">
        <f>SUM(S8:S38)</f>
        <v>241002</v>
      </c>
      <c r="T39" s="59">
        <f>SUM(T8:T38)</f>
        <v>416400</v>
      </c>
      <c r="U39" s="60">
        <f>P39+S39+T39</f>
        <v>2657340</v>
      </c>
      <c r="V39" s="61">
        <f t="shared" ref="V39:AB39" si="86">SUM(V8:V38)</f>
        <v>0</v>
      </c>
      <c r="W39" s="62">
        <f t="shared" si="86"/>
        <v>0</v>
      </c>
      <c r="X39" s="61">
        <f t="shared" si="86"/>
        <v>0</v>
      </c>
      <c r="Y39" s="62">
        <f t="shared" si="86"/>
        <v>6707</v>
      </c>
      <c r="Z39" s="63">
        <f t="shared" si="86"/>
        <v>1032140</v>
      </c>
      <c r="AA39" s="63">
        <f t="shared" si="86"/>
        <v>832819</v>
      </c>
      <c r="AB39" s="63">
        <f t="shared" si="86"/>
        <v>134979</v>
      </c>
      <c r="AC39" s="64">
        <f>SUM(Z39:AB39)</f>
        <v>1999938</v>
      </c>
      <c r="AD39" s="69">
        <f>SUM(AD8:AD38)</f>
        <v>2517531</v>
      </c>
      <c r="AE39" s="56">
        <f>SUM(AE8:AE38)</f>
        <v>3600000</v>
      </c>
      <c r="AF39" s="57">
        <f>AD39/AE39</f>
        <v>0.69931416666666668</v>
      </c>
      <c r="AG39" s="60">
        <f t="shared" ref="AG39:AQ39" si="87">SUM(AG8:AG38)</f>
        <v>2517531</v>
      </c>
      <c r="AH39" s="61">
        <f t="shared" si="87"/>
        <v>0</v>
      </c>
      <c r="AI39" s="62">
        <f t="shared" si="87"/>
        <v>0</v>
      </c>
      <c r="AJ39" s="61">
        <f t="shared" si="87"/>
        <v>218955</v>
      </c>
      <c r="AK39" s="62">
        <f t="shared" si="87"/>
        <v>27470</v>
      </c>
      <c r="AL39" s="63">
        <f t="shared" si="87"/>
        <v>2250222</v>
      </c>
      <c r="AM39" s="63">
        <f t="shared" si="87"/>
        <v>178424</v>
      </c>
      <c r="AN39" s="63">
        <f t="shared" si="87"/>
        <v>88885</v>
      </c>
      <c r="AO39" s="70">
        <f t="shared" si="87"/>
        <v>2517531</v>
      </c>
      <c r="AP39" s="71">
        <f t="shared" si="87"/>
        <v>6370949</v>
      </c>
      <c r="AQ39" s="56">
        <f t="shared" si="87"/>
        <v>7470000</v>
      </c>
      <c r="AR39" s="57">
        <f>AP39/AQ39</f>
        <v>0.85287135207496656</v>
      </c>
      <c r="AS39" s="58">
        <f t="shared" ref="AS39:BB39" si="88">SUM(AS8:AS38)</f>
        <v>2579265</v>
      </c>
      <c r="AT39" s="58">
        <f t="shared" si="88"/>
        <v>4086782</v>
      </c>
      <c r="AU39" s="72">
        <f t="shared" si="88"/>
        <v>13036996</v>
      </c>
      <c r="AV39" s="61">
        <f t="shared" si="88"/>
        <v>0</v>
      </c>
      <c r="AW39" s="73">
        <f t="shared" si="88"/>
        <v>0</v>
      </c>
      <c r="AX39" s="61">
        <f t="shared" si="88"/>
        <v>239742</v>
      </c>
      <c r="AY39" s="73">
        <f t="shared" si="88"/>
        <v>185084</v>
      </c>
      <c r="AZ39" s="74">
        <f t="shared" si="88"/>
        <v>4511535</v>
      </c>
      <c r="BA39" s="75">
        <f t="shared" si="88"/>
        <v>1568101</v>
      </c>
      <c r="BB39" s="75">
        <f t="shared" si="88"/>
        <v>291313</v>
      </c>
      <c r="BC39" s="64">
        <f>SUM(AZ39:BB39)</f>
        <v>6370949</v>
      </c>
      <c r="BD39" s="76">
        <f>SUM(BD8:BD38)</f>
        <v>0</v>
      </c>
    </row>
    <row r="40" spans="1:56" x14ac:dyDescent="0.15">
      <c r="B40" s="78"/>
      <c r="C40" s="78"/>
      <c r="D40" s="78"/>
      <c r="E40" s="78"/>
      <c r="P40" s="78"/>
      <c r="R40" s="78"/>
      <c r="S40" s="78"/>
    </row>
    <row r="41" spans="1:56" ht="20.25" x14ac:dyDescent="0.2">
      <c r="D41" s="77" ph="1"/>
      <c r="R41" s="77" ph="1"/>
    </row>
    <row r="42" spans="1:56" ht="20.25" x14ac:dyDescent="0.2">
      <c r="D42" s="77" ph="1"/>
      <c r="R42" s="77" ph="1"/>
    </row>
    <row r="43" spans="1:56" ht="20.25" x14ac:dyDescent="0.2">
      <c r="D43" s="77" ph="1"/>
      <c r="R43" s="77" ph="1"/>
    </row>
    <row r="44" spans="1:56" ht="20.25" x14ac:dyDescent="0.2">
      <c r="D44" s="77" ph="1"/>
      <c r="R44" s="77" ph="1"/>
    </row>
    <row r="45" spans="1:56" ht="20.25" x14ac:dyDescent="0.2">
      <c r="D45" s="77" ph="1"/>
      <c r="R45" s="77" ph="1"/>
    </row>
    <row r="46" spans="1:56" ht="20.25" x14ac:dyDescent="0.2">
      <c r="D46" s="77" ph="1"/>
      <c r="R46" s="77" ph="1"/>
    </row>
    <row r="11054" spans="46:46" x14ac:dyDescent="0.15">
      <c r="AT11054" s="83" t="s">
        <v>129</v>
      </c>
    </row>
    <row r="11576" spans="41:41" x14ac:dyDescent="0.15">
      <c r="AO11576" s="80" t="s">
        <v>129</v>
      </c>
    </row>
  </sheetData>
  <customSheetViews>
    <customSheetView guid="{F59DFEB7-288F-42CE-BE14-615E48269161}" scale="70" printArea="1" hiddenColumns="1" view="pageBreakPreview" showRuler="0">
      <pane xSplit="1" ySplit="7" topLeftCell="B8" activePane="bottomRight" state="frozen"/>
      <selection pane="bottomRight" activeCell="G17" sqref="G17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85" showRuler="0">
      <pane xSplit="1" ySplit="7" topLeftCell="AB17" activePane="bottomRight" state="frozen"/>
      <selection pane="bottomRight" activeCell="AW35" sqref="AW35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0">
    <mergeCell ref="A1:D4"/>
    <mergeCell ref="E1:Q2"/>
    <mergeCell ref="R1:AP2"/>
    <mergeCell ref="AQ1:AQ4"/>
    <mergeCell ref="AR1:AS1"/>
    <mergeCell ref="E3:Q3"/>
    <mergeCell ref="R3:AP3"/>
    <mergeCell ref="E4:Q4"/>
    <mergeCell ref="R4:AP4"/>
    <mergeCell ref="AT1:AW1"/>
    <mergeCell ref="AG6:AG7"/>
    <mergeCell ref="AX1:AY1"/>
    <mergeCell ref="AR2:AS4"/>
    <mergeCell ref="AT2:AW4"/>
    <mergeCell ref="AX2:AY4"/>
    <mergeCell ref="AP6:AR6"/>
    <mergeCell ref="AS6:AS7"/>
    <mergeCell ref="AT6:AT7"/>
    <mergeCell ref="AH5:AO5"/>
    <mergeCell ref="AP5:AY5"/>
    <mergeCell ref="J6:K6"/>
    <mergeCell ref="A5:A7"/>
    <mergeCell ref="B5:G5"/>
    <mergeCell ref="H5:O5"/>
    <mergeCell ref="P5:U5"/>
    <mergeCell ref="B6:D6"/>
    <mergeCell ref="E6:E7"/>
    <mergeCell ref="F6:F7"/>
    <mergeCell ref="G6:G7"/>
    <mergeCell ref="H6:I6"/>
    <mergeCell ref="L6:O6"/>
    <mergeCell ref="P6:R6"/>
    <mergeCell ref="S6:S7"/>
    <mergeCell ref="T6:T7"/>
    <mergeCell ref="AZ5:BC5"/>
    <mergeCell ref="BD5:BD7"/>
    <mergeCell ref="U6:U7"/>
    <mergeCell ref="V6:W6"/>
    <mergeCell ref="X6:Y6"/>
    <mergeCell ref="Z6:AC6"/>
    <mergeCell ref="AD6:AF6"/>
    <mergeCell ref="AU6:AU7"/>
    <mergeCell ref="AV6:AW6"/>
    <mergeCell ref="AX6:AY6"/>
    <mergeCell ref="AZ6:BC6"/>
    <mergeCell ref="AH6:AI6"/>
    <mergeCell ref="AJ6:AK6"/>
    <mergeCell ref="AL6:AO6"/>
    <mergeCell ref="V5:AC5"/>
    <mergeCell ref="AD5:AG5"/>
  </mergeCells>
  <phoneticPr fontId="3" type="noConversion"/>
  <pageMargins left="0.23" right="0" top="0.75" bottom="0" header="0.39370078740157483" footer="0.2"/>
  <pageSetup paperSize="9" scale="53" orientation="landscape" r:id="rId3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D11575"/>
  <sheetViews>
    <sheetView tabSelected="1" showRuler="0" zoomScale="85" zoomScaleNormal="85" zoomScaleSheetLayoutView="70" workbookViewId="0">
      <pane xSplit="1" ySplit="7" topLeftCell="AK15" activePane="bottomRight" state="frozen"/>
      <selection pane="topRight" activeCell="B1" sqref="B1"/>
      <selection pane="bottomLeft" activeCell="A8" sqref="A8"/>
      <selection pane="bottomRight" activeCell="AT21" sqref="AT21"/>
    </sheetView>
  </sheetViews>
  <sheetFormatPr defaultRowHeight="15" x14ac:dyDescent="0.15"/>
  <cols>
    <col min="1" max="1" width="7" style="77" customWidth="1"/>
    <col min="2" max="3" width="10.33203125" style="77" customWidth="1"/>
    <col min="4" max="4" width="10.109375" style="77" customWidth="1"/>
    <col min="5" max="6" width="9.88671875" style="77" customWidth="1"/>
    <col min="7" max="7" width="10.21875" style="77" customWidth="1"/>
    <col min="8" max="8" width="10.33203125" style="79" customWidth="1"/>
    <col min="9" max="9" width="10" style="79" customWidth="1"/>
    <col min="10" max="10" width="10.33203125" style="79" customWidth="1"/>
    <col min="11" max="11" width="10" style="79" customWidth="1"/>
    <col min="12" max="15" width="10.33203125" style="80" customWidth="1"/>
    <col min="16" max="16" width="10.33203125" style="77" customWidth="1"/>
    <col min="17" max="17" width="10.33203125" style="81" customWidth="1"/>
    <col min="18" max="19" width="10.109375" style="77" customWidth="1"/>
    <col min="20" max="20" width="9.88671875" style="82" customWidth="1"/>
    <col min="21" max="21" width="10.21875" style="77" customWidth="1"/>
    <col min="22" max="22" width="10.33203125" style="79" customWidth="1"/>
    <col min="23" max="23" width="10" style="79" customWidth="1"/>
    <col min="24" max="24" width="10.33203125" style="79" customWidth="1"/>
    <col min="25" max="25" width="10" style="79" customWidth="1"/>
    <col min="26" max="29" width="10.33203125" style="80" customWidth="1"/>
    <col min="30" max="30" width="11.109375" style="77" customWidth="1"/>
    <col min="31" max="31" width="10.33203125" style="81" customWidth="1"/>
    <col min="32" max="32" width="10.109375" style="77" customWidth="1"/>
    <col min="33" max="33" width="10.33203125" style="77" customWidth="1"/>
    <col min="34" max="34" width="10.33203125" style="79" customWidth="1"/>
    <col min="35" max="35" width="10" style="79" customWidth="1"/>
    <col min="36" max="36" width="10.33203125" style="79" customWidth="1"/>
    <col min="37" max="37" width="10" style="79" customWidth="1"/>
    <col min="38" max="41" width="10.33203125" style="80" customWidth="1"/>
    <col min="42" max="42" width="11.6640625" style="77" customWidth="1"/>
    <col min="43" max="43" width="10.88671875" style="81" customWidth="1"/>
    <col min="44" max="44" width="9.33203125" style="77" customWidth="1"/>
    <col min="45" max="45" width="10.33203125" style="77" customWidth="1"/>
    <col min="46" max="46" width="10.33203125" style="83" customWidth="1"/>
    <col min="47" max="47" width="11.33203125" style="77" customWidth="1"/>
    <col min="48" max="48" width="10.33203125" style="79" customWidth="1"/>
    <col min="49" max="49" width="10" style="79" customWidth="1"/>
    <col min="50" max="50" width="10.33203125" style="79" customWidth="1"/>
    <col min="51" max="51" width="10" style="79" customWidth="1"/>
    <col min="52" max="54" width="10.33203125" style="84" customWidth="1"/>
    <col min="55" max="55" width="11.21875" style="84" customWidth="1"/>
    <col min="56" max="56" width="11.5546875" style="85" customWidth="1"/>
    <col min="57" max="57" width="8.88671875" style="85" customWidth="1"/>
    <col min="58" max="58" width="9.77734375" style="85" bestFit="1" customWidth="1"/>
    <col min="59" max="16384" width="8.88671875" style="85"/>
  </cols>
  <sheetData>
    <row r="1" spans="1:56" s="5" customFormat="1" ht="28.5" customHeight="1" x14ac:dyDescent="0.15">
      <c r="A1" s="101"/>
      <c r="B1" s="102"/>
      <c r="C1" s="102"/>
      <c r="D1" s="102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07" t="s">
        <v>1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9"/>
      <c r="AQ1" s="182" t="s">
        <v>123</v>
      </c>
      <c r="AR1" s="113" t="s">
        <v>3</v>
      </c>
      <c r="AS1" s="113"/>
      <c r="AT1" s="113" t="s">
        <v>4</v>
      </c>
      <c r="AU1" s="113"/>
      <c r="AV1" s="113"/>
      <c r="AW1" s="113"/>
      <c r="AX1" s="113" t="s">
        <v>5</v>
      </c>
      <c r="AY1" s="132"/>
      <c r="AZ1" s="3"/>
      <c r="BA1" s="4"/>
      <c r="BB1" s="4"/>
      <c r="BC1" s="4"/>
    </row>
    <row r="2" spans="1:56" s="5" customFormat="1" ht="15" customHeight="1" x14ac:dyDescent="0.15">
      <c r="A2" s="103"/>
      <c r="B2" s="104"/>
      <c r="C2" s="104"/>
      <c r="D2" s="104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79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1"/>
      <c r="AQ2" s="183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</row>
    <row r="3" spans="1:56" s="5" customFormat="1" ht="39.950000000000003" customHeight="1" x14ac:dyDescent="0.15">
      <c r="A3" s="103"/>
      <c r="B3" s="104"/>
      <c r="C3" s="104"/>
      <c r="D3" s="104"/>
      <c r="E3" s="120" t="s">
        <v>6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2"/>
      <c r="R3" s="138" t="s">
        <v>142</v>
      </c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83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</row>
    <row r="4" spans="1:56" s="5" customFormat="1" ht="39.950000000000003" customHeight="1" thickBot="1" x14ac:dyDescent="0.2">
      <c r="A4" s="105"/>
      <c r="B4" s="106"/>
      <c r="C4" s="106"/>
      <c r="D4" s="106"/>
      <c r="E4" s="123" t="s">
        <v>7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41" t="s">
        <v>8</v>
      </c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3"/>
      <c r="AQ4" s="184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</row>
    <row r="5" spans="1:56" s="10" customFormat="1" ht="21.75" customHeight="1" thickBot="1" x14ac:dyDescent="0.2">
      <c r="A5" s="144"/>
      <c r="B5" s="147" t="s">
        <v>140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102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141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105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9</v>
      </c>
      <c r="BA5" s="172"/>
      <c r="BB5" s="172"/>
      <c r="BC5" s="173"/>
      <c r="BD5" s="155" t="s">
        <v>10</v>
      </c>
    </row>
    <row r="6" spans="1:56" s="11" customFormat="1" ht="21.75" customHeight="1" x14ac:dyDescent="0.15">
      <c r="A6" s="145"/>
      <c r="B6" s="150" t="s">
        <v>106</v>
      </c>
      <c r="C6" s="151"/>
      <c r="D6" s="151"/>
      <c r="E6" s="151" t="s">
        <v>11</v>
      </c>
      <c r="F6" s="153" t="s">
        <v>12</v>
      </c>
      <c r="G6" s="151" t="s">
        <v>13</v>
      </c>
      <c r="H6" s="159" t="s">
        <v>14</v>
      </c>
      <c r="I6" s="159"/>
      <c r="J6" s="159" t="s">
        <v>15</v>
      </c>
      <c r="K6" s="159"/>
      <c r="L6" s="160" t="s">
        <v>16</v>
      </c>
      <c r="M6" s="160"/>
      <c r="N6" s="160"/>
      <c r="O6" s="161"/>
      <c r="P6" s="150" t="s">
        <v>101</v>
      </c>
      <c r="Q6" s="151"/>
      <c r="R6" s="151"/>
      <c r="S6" s="151" t="s">
        <v>11</v>
      </c>
      <c r="T6" s="153" t="s">
        <v>12</v>
      </c>
      <c r="U6" s="151" t="s">
        <v>13</v>
      </c>
      <c r="V6" s="159" t="s">
        <v>14</v>
      </c>
      <c r="W6" s="159"/>
      <c r="X6" s="159" t="s">
        <v>15</v>
      </c>
      <c r="Y6" s="159"/>
      <c r="Z6" s="160" t="s">
        <v>16</v>
      </c>
      <c r="AA6" s="160"/>
      <c r="AB6" s="160"/>
      <c r="AC6" s="161"/>
      <c r="AD6" s="150" t="s">
        <v>103</v>
      </c>
      <c r="AE6" s="151"/>
      <c r="AF6" s="151"/>
      <c r="AG6" s="177" t="s">
        <v>13</v>
      </c>
      <c r="AH6" s="158" t="s">
        <v>14</v>
      </c>
      <c r="AI6" s="159"/>
      <c r="AJ6" s="159" t="s">
        <v>15</v>
      </c>
      <c r="AK6" s="159"/>
      <c r="AL6" s="160" t="s">
        <v>16</v>
      </c>
      <c r="AM6" s="160"/>
      <c r="AN6" s="160"/>
      <c r="AO6" s="161"/>
      <c r="AP6" s="150" t="s">
        <v>104</v>
      </c>
      <c r="AQ6" s="151"/>
      <c r="AR6" s="151"/>
      <c r="AS6" s="151" t="s">
        <v>11</v>
      </c>
      <c r="AT6" s="151" t="s">
        <v>12</v>
      </c>
      <c r="AU6" s="162" t="s">
        <v>13</v>
      </c>
      <c r="AV6" s="164" t="s">
        <v>14</v>
      </c>
      <c r="AW6" s="165"/>
      <c r="AX6" s="164" t="s">
        <v>15</v>
      </c>
      <c r="AY6" s="165"/>
      <c r="AZ6" s="174" t="s">
        <v>16</v>
      </c>
      <c r="BA6" s="175"/>
      <c r="BB6" s="175"/>
      <c r="BC6" s="176"/>
      <c r="BD6" s="156"/>
    </row>
    <row r="7" spans="1:56" s="25" customFormat="1" ht="21" customHeight="1" thickBot="1" x14ac:dyDescent="0.2">
      <c r="A7" s="146"/>
      <c r="B7" s="12" t="s">
        <v>17</v>
      </c>
      <c r="C7" s="13" t="s">
        <v>18</v>
      </c>
      <c r="D7" s="14" t="s">
        <v>19</v>
      </c>
      <c r="E7" s="152"/>
      <c r="F7" s="154"/>
      <c r="G7" s="152"/>
      <c r="H7" s="15" t="s">
        <v>20</v>
      </c>
      <c r="I7" s="15" t="s">
        <v>21</v>
      </c>
      <c r="J7" s="15" t="s">
        <v>20</v>
      </c>
      <c r="K7" s="15" t="s">
        <v>21</v>
      </c>
      <c r="L7" s="16" t="s">
        <v>22</v>
      </c>
      <c r="M7" s="16" t="s">
        <v>23</v>
      </c>
      <c r="N7" s="16" t="s">
        <v>24</v>
      </c>
      <c r="O7" s="17" t="s">
        <v>13</v>
      </c>
      <c r="P7" s="12" t="s">
        <v>17</v>
      </c>
      <c r="Q7" s="13" t="s">
        <v>18</v>
      </c>
      <c r="R7" s="14" t="s">
        <v>19</v>
      </c>
      <c r="S7" s="152"/>
      <c r="T7" s="154"/>
      <c r="U7" s="152"/>
      <c r="V7" s="15" t="s">
        <v>25</v>
      </c>
      <c r="W7" s="15" t="s">
        <v>21</v>
      </c>
      <c r="X7" s="15" t="s">
        <v>20</v>
      </c>
      <c r="Y7" s="15" t="s">
        <v>21</v>
      </c>
      <c r="Z7" s="16" t="s">
        <v>22</v>
      </c>
      <c r="AA7" s="16" t="s">
        <v>23</v>
      </c>
      <c r="AB7" s="16" t="s">
        <v>24</v>
      </c>
      <c r="AC7" s="17" t="s">
        <v>13</v>
      </c>
      <c r="AD7" s="12" t="s">
        <v>17</v>
      </c>
      <c r="AE7" s="13" t="s">
        <v>18</v>
      </c>
      <c r="AF7" s="14" t="s">
        <v>19</v>
      </c>
      <c r="AG7" s="178"/>
      <c r="AH7" s="19" t="s">
        <v>20</v>
      </c>
      <c r="AI7" s="15" t="s">
        <v>21</v>
      </c>
      <c r="AJ7" s="15" t="s">
        <v>20</v>
      </c>
      <c r="AK7" s="15" t="s">
        <v>21</v>
      </c>
      <c r="AL7" s="16" t="s">
        <v>22</v>
      </c>
      <c r="AM7" s="16" t="s">
        <v>23</v>
      </c>
      <c r="AN7" s="16" t="s">
        <v>24</v>
      </c>
      <c r="AO7" s="17" t="s">
        <v>13</v>
      </c>
      <c r="AP7" s="12" t="s">
        <v>17</v>
      </c>
      <c r="AQ7" s="13" t="s">
        <v>18</v>
      </c>
      <c r="AR7" s="14" t="s">
        <v>19</v>
      </c>
      <c r="AS7" s="152"/>
      <c r="AT7" s="152"/>
      <c r="AU7" s="163"/>
      <c r="AV7" s="20" t="s">
        <v>20</v>
      </c>
      <c r="AW7" s="21" t="s">
        <v>21</v>
      </c>
      <c r="AX7" s="20" t="s">
        <v>20</v>
      </c>
      <c r="AY7" s="21" t="s">
        <v>21</v>
      </c>
      <c r="AZ7" s="22" t="s">
        <v>22</v>
      </c>
      <c r="BA7" s="23" t="s">
        <v>23</v>
      </c>
      <c r="BB7" s="23" t="s">
        <v>24</v>
      </c>
      <c r="BC7" s="24" t="s">
        <v>13</v>
      </c>
      <c r="BD7" s="157"/>
    </row>
    <row r="8" spans="1:56" s="52" customFormat="1" ht="21.75" customHeight="1" x14ac:dyDescent="0.15">
      <c r="A8" s="53">
        <v>46174</v>
      </c>
      <c r="B8" s="27">
        <v>78816</v>
      </c>
      <c r="C8" s="28">
        <v>145000</v>
      </c>
      <c r="D8" s="29">
        <f>B8/C8</f>
        <v>0.54355862068965521</v>
      </c>
      <c r="E8" s="30">
        <v>203946</v>
      </c>
      <c r="F8" s="31">
        <v>336305</v>
      </c>
      <c r="G8" s="32">
        <f t="shared" ref="G8:G12" si="0">B8+E8+F8</f>
        <v>619067</v>
      </c>
      <c r="H8" s="33">
        <v>0</v>
      </c>
      <c r="I8" s="34">
        <v>0</v>
      </c>
      <c r="J8" s="35">
        <v>60745</v>
      </c>
      <c r="K8" s="36">
        <v>17510</v>
      </c>
      <c r="L8" s="37">
        <v>0</v>
      </c>
      <c r="M8" s="38">
        <v>78816</v>
      </c>
      <c r="N8" s="38">
        <v>0</v>
      </c>
      <c r="O8" s="39">
        <f t="shared" ref="O8:O12" si="1">SUM(L8:N8)</f>
        <v>78816</v>
      </c>
      <c r="P8" s="40">
        <v>88478</v>
      </c>
      <c r="Q8" s="28">
        <v>70000</v>
      </c>
      <c r="R8" s="29">
        <f>P8/Q8</f>
        <v>1.2639714285714285</v>
      </c>
      <c r="S8" s="30">
        <v>5934</v>
      </c>
      <c r="T8" s="31">
        <v>0</v>
      </c>
      <c r="U8" s="32">
        <f t="shared" ref="U8:U12" si="2">P8+S8+T8</f>
        <v>94412</v>
      </c>
      <c r="V8" s="33">
        <v>0</v>
      </c>
      <c r="W8" s="34">
        <v>0</v>
      </c>
      <c r="X8" s="35">
        <v>0</v>
      </c>
      <c r="Y8" s="36">
        <v>0</v>
      </c>
      <c r="Z8" s="37">
        <v>23079</v>
      </c>
      <c r="AA8" s="38">
        <v>65399</v>
      </c>
      <c r="AB8" s="38">
        <v>0</v>
      </c>
      <c r="AC8" s="39">
        <f t="shared" ref="AC8:AC12" si="3">SUM(Z8:AB8)</f>
        <v>88478</v>
      </c>
      <c r="AD8" s="45">
        <v>5934</v>
      </c>
      <c r="AE8" s="28">
        <v>200000</v>
      </c>
      <c r="AF8" s="41">
        <f>AD8/AE8</f>
        <v>2.9669999999999998E-2</v>
      </c>
      <c r="AG8" s="32">
        <f t="shared" ref="AG8:AG12" si="4">AD8</f>
        <v>5934</v>
      </c>
      <c r="AH8" s="35">
        <v>0</v>
      </c>
      <c r="AI8" s="43">
        <v>0</v>
      </c>
      <c r="AJ8" s="35">
        <v>89988</v>
      </c>
      <c r="AK8" s="43">
        <v>0</v>
      </c>
      <c r="AL8" s="44">
        <v>0</v>
      </c>
      <c r="AM8" s="38">
        <v>5934</v>
      </c>
      <c r="AN8" s="38">
        <v>0</v>
      </c>
      <c r="AO8" s="39">
        <f t="shared" ref="AO8:AO12" si="5">SUM(AL8:AN8)</f>
        <v>5934</v>
      </c>
      <c r="AP8" s="40">
        <f t="shared" ref="AP8:AP12" si="6">AD8+P8+B8</f>
        <v>173228</v>
      </c>
      <c r="AQ8" s="28">
        <v>415000</v>
      </c>
      <c r="AR8" s="41">
        <f>AP8/AQ8</f>
        <v>0.41741686746987949</v>
      </c>
      <c r="AS8" s="30">
        <f t="shared" ref="AS8:AT8" si="7">E8+S8</f>
        <v>209880</v>
      </c>
      <c r="AT8" s="30">
        <f t="shared" si="7"/>
        <v>336305</v>
      </c>
      <c r="AU8" s="42">
        <f t="shared" ref="AU8" si="8">AP8+AS8+AT8</f>
        <v>719413</v>
      </c>
      <c r="AV8" s="33">
        <f t="shared" ref="AV8:AY8" si="9">SUM(H8,V8,AH8)</f>
        <v>0</v>
      </c>
      <c r="AW8" s="46">
        <f t="shared" si="9"/>
        <v>0</v>
      </c>
      <c r="AX8" s="33">
        <f t="shared" si="9"/>
        <v>150733</v>
      </c>
      <c r="AY8" s="46">
        <f t="shared" si="9"/>
        <v>17510</v>
      </c>
      <c r="AZ8" s="48">
        <f t="shared" ref="AZ8:BB8" si="10">L8+Z8+AL8</f>
        <v>23079</v>
      </c>
      <c r="BA8" s="49">
        <f t="shared" si="10"/>
        <v>150149</v>
      </c>
      <c r="BB8" s="49">
        <f t="shared" si="10"/>
        <v>0</v>
      </c>
      <c r="BC8" s="50">
        <f t="shared" ref="BC8" si="11">SUM(AZ8:BB8)</f>
        <v>173228</v>
      </c>
      <c r="BD8" s="51">
        <v>0</v>
      </c>
    </row>
    <row r="9" spans="1:56" s="52" customFormat="1" ht="21.75" customHeight="1" x14ac:dyDescent="0.15">
      <c r="A9" s="53">
        <v>46175</v>
      </c>
      <c r="B9" s="27">
        <v>182644</v>
      </c>
      <c r="C9" s="28">
        <v>145000</v>
      </c>
      <c r="D9" s="29">
        <f>B9/C9</f>
        <v>1.2596137931034483</v>
      </c>
      <c r="E9" s="30">
        <v>174632</v>
      </c>
      <c r="F9" s="31">
        <v>0</v>
      </c>
      <c r="G9" s="32">
        <f t="shared" si="0"/>
        <v>357276</v>
      </c>
      <c r="H9" s="33">
        <v>0</v>
      </c>
      <c r="I9" s="34">
        <v>0</v>
      </c>
      <c r="J9" s="35">
        <v>17586</v>
      </c>
      <c r="K9" s="36">
        <v>107952</v>
      </c>
      <c r="L9" s="37">
        <v>116300</v>
      </c>
      <c r="M9" s="38">
        <v>0</v>
      </c>
      <c r="N9" s="38">
        <v>66344</v>
      </c>
      <c r="O9" s="39">
        <f t="shared" si="1"/>
        <v>182644</v>
      </c>
      <c r="P9" s="40">
        <v>54114</v>
      </c>
      <c r="Q9" s="28">
        <v>70000</v>
      </c>
      <c r="R9" s="29">
        <f>P9/Q9</f>
        <v>0.77305714285714289</v>
      </c>
      <c r="S9" s="30">
        <v>25173</v>
      </c>
      <c r="T9" s="31">
        <v>0</v>
      </c>
      <c r="U9" s="32">
        <f t="shared" si="2"/>
        <v>79287</v>
      </c>
      <c r="V9" s="33">
        <v>0</v>
      </c>
      <c r="W9" s="34">
        <v>0</v>
      </c>
      <c r="X9" s="35">
        <v>0</v>
      </c>
      <c r="Y9" s="36">
        <v>0</v>
      </c>
      <c r="Z9" s="37">
        <v>42364</v>
      </c>
      <c r="AA9" s="38">
        <v>11750</v>
      </c>
      <c r="AB9" s="38">
        <v>0</v>
      </c>
      <c r="AC9" s="39">
        <f t="shared" si="3"/>
        <v>54114</v>
      </c>
      <c r="AD9" s="45">
        <v>238257</v>
      </c>
      <c r="AE9" s="28">
        <v>200000</v>
      </c>
      <c r="AF9" s="41">
        <f>AD9/AE9</f>
        <v>1.1912849999999999</v>
      </c>
      <c r="AG9" s="32">
        <f t="shared" si="4"/>
        <v>238257</v>
      </c>
      <c r="AH9" s="35">
        <v>0</v>
      </c>
      <c r="AI9" s="43">
        <v>0</v>
      </c>
      <c r="AJ9" s="35">
        <v>0</v>
      </c>
      <c r="AK9" s="43">
        <v>0</v>
      </c>
      <c r="AL9" s="44">
        <v>171215</v>
      </c>
      <c r="AM9" s="38">
        <v>67042</v>
      </c>
      <c r="AN9" s="38">
        <v>0</v>
      </c>
      <c r="AO9" s="39">
        <f t="shared" si="5"/>
        <v>238257</v>
      </c>
      <c r="AP9" s="40">
        <f t="shared" si="6"/>
        <v>475015</v>
      </c>
      <c r="AQ9" s="28">
        <v>415000</v>
      </c>
      <c r="AR9" s="41">
        <f>AP9/AQ9</f>
        <v>1.1446144578313253</v>
      </c>
      <c r="AS9" s="30">
        <f t="shared" ref="AS9" si="12">E9+S9</f>
        <v>199805</v>
      </c>
      <c r="AT9" s="30">
        <f t="shared" ref="AT9" si="13">F9+T9</f>
        <v>0</v>
      </c>
      <c r="AU9" s="42">
        <f t="shared" ref="AU9" si="14">AP9+AS9+AT9</f>
        <v>674820</v>
      </c>
      <c r="AV9" s="33">
        <f t="shared" ref="AV9" si="15">SUM(H9,V9,AH9)</f>
        <v>0</v>
      </c>
      <c r="AW9" s="46">
        <f t="shared" ref="AW9" si="16">SUM(I9,W9,AI9)</f>
        <v>0</v>
      </c>
      <c r="AX9" s="33">
        <f t="shared" ref="AX9" si="17">SUM(J9,X9,AJ9)</f>
        <v>17586</v>
      </c>
      <c r="AY9" s="46">
        <f t="shared" ref="AY9" si="18">SUM(K9,Y9,AK9)</f>
        <v>107952</v>
      </c>
      <c r="AZ9" s="48">
        <f t="shared" ref="AZ9" si="19">L9+Z9+AL9</f>
        <v>329879</v>
      </c>
      <c r="BA9" s="49">
        <f t="shared" ref="BA9" si="20">M9+AA9+AM9</f>
        <v>78792</v>
      </c>
      <c r="BB9" s="49">
        <f t="shared" ref="BB9" si="21">N9+AB9+AN9</f>
        <v>66344</v>
      </c>
      <c r="BC9" s="50">
        <f t="shared" ref="BC9" si="22">SUM(AZ9:BB9)</f>
        <v>475015</v>
      </c>
      <c r="BD9" s="51"/>
    </row>
    <row r="10" spans="1:56" s="52" customFormat="1" ht="21.75" customHeight="1" x14ac:dyDescent="0.15">
      <c r="A10" s="26">
        <v>46176</v>
      </c>
      <c r="B10" s="27">
        <v>0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3">
        <v>0</v>
      </c>
      <c r="I10" s="34">
        <v>0</v>
      </c>
      <c r="J10" s="35">
        <v>0</v>
      </c>
      <c r="K10" s="36">
        <v>0</v>
      </c>
      <c r="L10" s="37">
        <v>0</v>
      </c>
      <c r="M10" s="38">
        <v>0</v>
      </c>
      <c r="N10" s="38">
        <v>0</v>
      </c>
      <c r="O10" s="39">
        <v>0</v>
      </c>
      <c r="P10" s="40">
        <v>0</v>
      </c>
      <c r="Q10" s="28">
        <v>0</v>
      </c>
      <c r="R10" s="29">
        <v>0</v>
      </c>
      <c r="S10" s="30">
        <v>0</v>
      </c>
      <c r="T10" s="31">
        <v>0</v>
      </c>
      <c r="U10" s="32">
        <v>0</v>
      </c>
      <c r="V10" s="33">
        <v>0</v>
      </c>
      <c r="W10" s="34">
        <v>0</v>
      </c>
      <c r="X10" s="35">
        <v>0</v>
      </c>
      <c r="Y10" s="36">
        <v>0</v>
      </c>
      <c r="Z10" s="37">
        <v>0</v>
      </c>
      <c r="AA10" s="38">
        <v>0</v>
      </c>
      <c r="AB10" s="38">
        <v>0</v>
      </c>
      <c r="AC10" s="39">
        <v>0</v>
      </c>
      <c r="AD10" s="45">
        <v>0</v>
      </c>
      <c r="AE10" s="28">
        <v>0</v>
      </c>
      <c r="AF10" s="41">
        <v>0</v>
      </c>
      <c r="AG10" s="32">
        <v>0</v>
      </c>
      <c r="AH10" s="35">
        <v>0</v>
      </c>
      <c r="AI10" s="43">
        <v>0</v>
      </c>
      <c r="AJ10" s="35">
        <v>0</v>
      </c>
      <c r="AK10" s="43">
        <v>0</v>
      </c>
      <c r="AL10" s="44">
        <v>0</v>
      </c>
      <c r="AM10" s="38">
        <v>0</v>
      </c>
      <c r="AN10" s="38">
        <v>0</v>
      </c>
      <c r="AO10" s="39">
        <v>0</v>
      </c>
      <c r="AP10" s="40">
        <v>0</v>
      </c>
      <c r="AQ10" s="28">
        <v>0</v>
      </c>
      <c r="AR10" s="41">
        <v>0</v>
      </c>
      <c r="AS10" s="30">
        <v>0</v>
      </c>
      <c r="AT10" s="30">
        <v>0</v>
      </c>
      <c r="AU10" s="42">
        <v>0</v>
      </c>
      <c r="AV10" s="33">
        <v>0</v>
      </c>
      <c r="AW10" s="46">
        <v>0</v>
      </c>
      <c r="AX10" s="33">
        <v>0</v>
      </c>
      <c r="AY10" s="46">
        <v>0</v>
      </c>
      <c r="AZ10" s="48">
        <v>0</v>
      </c>
      <c r="BA10" s="49">
        <v>0</v>
      </c>
      <c r="BB10" s="49">
        <v>0</v>
      </c>
      <c r="BC10" s="50">
        <v>0</v>
      </c>
      <c r="BD10" s="51"/>
    </row>
    <row r="11" spans="1:56" s="52" customFormat="1" ht="21.75" customHeight="1" x14ac:dyDescent="0.15">
      <c r="A11" s="53">
        <v>46177</v>
      </c>
      <c r="B11" s="27">
        <v>169753</v>
      </c>
      <c r="C11" s="28">
        <v>145000</v>
      </c>
      <c r="D11" s="29">
        <f>B11/C11</f>
        <v>1.1707103448275862</v>
      </c>
      <c r="E11" s="30">
        <v>88830</v>
      </c>
      <c r="F11" s="31">
        <v>493776</v>
      </c>
      <c r="G11" s="32">
        <f t="shared" si="0"/>
        <v>752359</v>
      </c>
      <c r="H11" s="33">
        <v>0</v>
      </c>
      <c r="I11" s="34">
        <v>0</v>
      </c>
      <c r="J11" s="35">
        <v>0</v>
      </c>
      <c r="K11" s="36">
        <v>0</v>
      </c>
      <c r="L11" s="37">
        <v>169753</v>
      </c>
      <c r="M11" s="38">
        <v>0</v>
      </c>
      <c r="N11" s="38">
        <v>0</v>
      </c>
      <c r="O11" s="39">
        <f t="shared" si="1"/>
        <v>169753</v>
      </c>
      <c r="P11" s="40">
        <v>29376</v>
      </c>
      <c r="Q11" s="28">
        <v>70000</v>
      </c>
      <c r="R11" s="29">
        <f>P11/Q11</f>
        <v>0.41965714285714284</v>
      </c>
      <c r="S11" s="30">
        <v>0</v>
      </c>
      <c r="T11" s="31">
        <v>44700</v>
      </c>
      <c r="U11" s="32">
        <f t="shared" si="2"/>
        <v>74076</v>
      </c>
      <c r="V11" s="33">
        <v>0</v>
      </c>
      <c r="W11" s="34">
        <v>0</v>
      </c>
      <c r="X11" s="35">
        <v>0</v>
      </c>
      <c r="Y11" s="36">
        <v>0</v>
      </c>
      <c r="Z11" s="37">
        <v>19836</v>
      </c>
      <c r="AA11" s="38">
        <v>0</v>
      </c>
      <c r="AB11" s="38">
        <v>9540</v>
      </c>
      <c r="AC11" s="39">
        <f t="shared" si="3"/>
        <v>29376</v>
      </c>
      <c r="AD11" s="45">
        <v>189662</v>
      </c>
      <c r="AE11" s="28">
        <v>200000</v>
      </c>
      <c r="AF11" s="41">
        <f>AD11/AE11</f>
        <v>0.94830999999999999</v>
      </c>
      <c r="AG11" s="32">
        <f t="shared" si="4"/>
        <v>189662</v>
      </c>
      <c r="AH11" s="35">
        <v>0</v>
      </c>
      <c r="AI11" s="43">
        <v>0</v>
      </c>
      <c r="AJ11" s="35">
        <v>0</v>
      </c>
      <c r="AK11" s="43">
        <v>0</v>
      </c>
      <c r="AL11" s="44">
        <v>189662</v>
      </c>
      <c r="AM11" s="38">
        <v>0</v>
      </c>
      <c r="AN11" s="38">
        <v>0</v>
      </c>
      <c r="AO11" s="39">
        <f t="shared" si="5"/>
        <v>189662</v>
      </c>
      <c r="AP11" s="40">
        <f t="shared" si="6"/>
        <v>388791</v>
      </c>
      <c r="AQ11" s="28">
        <v>415000</v>
      </c>
      <c r="AR11" s="41">
        <f>AP11/AQ11</f>
        <v>0.93684578313253009</v>
      </c>
      <c r="AS11" s="30">
        <f t="shared" ref="AS11" si="23">E11+S11</f>
        <v>88830</v>
      </c>
      <c r="AT11" s="30">
        <f t="shared" ref="AT11" si="24">F11+T11</f>
        <v>538476</v>
      </c>
      <c r="AU11" s="42">
        <f t="shared" ref="AU11" si="25">AP11+AS11+AT11</f>
        <v>1016097</v>
      </c>
      <c r="AV11" s="33">
        <f t="shared" ref="AV11" si="26">SUM(H11,V11,AH11)</f>
        <v>0</v>
      </c>
      <c r="AW11" s="46">
        <f t="shared" ref="AW11" si="27">SUM(I11,W11,AI11)</f>
        <v>0</v>
      </c>
      <c r="AX11" s="33">
        <f t="shared" ref="AX11" si="28">SUM(J11,X11,AJ11)</f>
        <v>0</v>
      </c>
      <c r="AY11" s="46">
        <f t="shared" ref="AY11" si="29">SUM(K11,Y11,AK11)</f>
        <v>0</v>
      </c>
      <c r="AZ11" s="48">
        <f t="shared" ref="AZ11" si="30">L11+Z11+AL11</f>
        <v>379251</v>
      </c>
      <c r="BA11" s="49">
        <f t="shared" ref="BA11" si="31">M11+AA11+AM11</f>
        <v>0</v>
      </c>
      <c r="BB11" s="49">
        <f t="shared" ref="BB11" si="32">N11+AB11+AN11</f>
        <v>9540</v>
      </c>
      <c r="BC11" s="50">
        <f t="shared" ref="BC11" si="33">SUM(AZ11:BB11)</f>
        <v>388791</v>
      </c>
      <c r="BD11" s="51"/>
    </row>
    <row r="12" spans="1:56" s="52" customFormat="1" ht="21.75" customHeight="1" x14ac:dyDescent="0.15">
      <c r="A12" s="53">
        <v>46178</v>
      </c>
      <c r="B12" s="27">
        <v>143298</v>
      </c>
      <c r="C12" s="28">
        <v>145000</v>
      </c>
      <c r="D12" s="29">
        <f>B12/C12</f>
        <v>0.98826206896551727</v>
      </c>
      <c r="E12" s="30">
        <v>182777</v>
      </c>
      <c r="F12" s="31">
        <v>0</v>
      </c>
      <c r="G12" s="32">
        <f t="shared" si="0"/>
        <v>326075</v>
      </c>
      <c r="H12" s="33">
        <v>0</v>
      </c>
      <c r="I12" s="34">
        <v>0</v>
      </c>
      <c r="J12" s="35">
        <v>0</v>
      </c>
      <c r="K12" s="36">
        <v>55747</v>
      </c>
      <c r="L12" s="37">
        <v>76954</v>
      </c>
      <c r="M12" s="38">
        <v>0</v>
      </c>
      <c r="N12" s="38">
        <v>66344</v>
      </c>
      <c r="O12" s="39">
        <f t="shared" si="1"/>
        <v>143298</v>
      </c>
      <c r="P12" s="40">
        <v>32688</v>
      </c>
      <c r="Q12" s="28">
        <v>70000</v>
      </c>
      <c r="R12" s="29">
        <f>P12/Q12</f>
        <v>0.46697142857142859</v>
      </c>
      <c r="S12" s="30">
        <v>6413</v>
      </c>
      <c r="T12" s="31">
        <v>0</v>
      </c>
      <c r="U12" s="32">
        <f t="shared" si="2"/>
        <v>39101</v>
      </c>
      <c r="V12" s="33">
        <v>0</v>
      </c>
      <c r="W12" s="34">
        <v>0</v>
      </c>
      <c r="X12" s="35">
        <v>0</v>
      </c>
      <c r="Y12" s="36">
        <v>0</v>
      </c>
      <c r="Z12" s="37">
        <v>16800</v>
      </c>
      <c r="AA12" s="38">
        <v>6764</v>
      </c>
      <c r="AB12" s="38">
        <v>9124</v>
      </c>
      <c r="AC12" s="39">
        <f t="shared" si="3"/>
        <v>32688</v>
      </c>
      <c r="AD12" s="45">
        <v>165168</v>
      </c>
      <c r="AE12" s="28">
        <v>200000</v>
      </c>
      <c r="AF12" s="41">
        <f>AD12/AE12</f>
        <v>0.82584000000000002</v>
      </c>
      <c r="AG12" s="32">
        <f t="shared" si="4"/>
        <v>165168</v>
      </c>
      <c r="AH12" s="35">
        <v>0</v>
      </c>
      <c r="AI12" s="43">
        <v>0</v>
      </c>
      <c r="AJ12" s="35">
        <v>0</v>
      </c>
      <c r="AK12" s="43">
        <v>0</v>
      </c>
      <c r="AL12" s="44">
        <v>165168</v>
      </c>
      <c r="AM12" s="38">
        <v>0</v>
      </c>
      <c r="AN12" s="38">
        <v>0</v>
      </c>
      <c r="AO12" s="39">
        <f t="shared" si="5"/>
        <v>165168</v>
      </c>
      <c r="AP12" s="40">
        <f t="shared" si="6"/>
        <v>341154</v>
      </c>
      <c r="AQ12" s="28">
        <v>415000</v>
      </c>
      <c r="AR12" s="41">
        <f>AP12/AQ12</f>
        <v>0.82205783132530119</v>
      </c>
      <c r="AS12" s="30">
        <f t="shared" ref="AS12" si="34">E12+S12</f>
        <v>189190</v>
      </c>
      <c r="AT12" s="30">
        <f t="shared" ref="AT12" si="35">F12+T12</f>
        <v>0</v>
      </c>
      <c r="AU12" s="42">
        <f t="shared" ref="AU12" si="36">AP12+AS12+AT12</f>
        <v>530344</v>
      </c>
      <c r="AV12" s="33">
        <f t="shared" ref="AV12" si="37">SUM(H12,V12,AH12)</f>
        <v>0</v>
      </c>
      <c r="AW12" s="46">
        <f t="shared" ref="AW12" si="38">SUM(I12,W12,AI12)</f>
        <v>0</v>
      </c>
      <c r="AX12" s="33">
        <f t="shared" ref="AX12" si="39">SUM(J12,X12,AJ12)</f>
        <v>0</v>
      </c>
      <c r="AY12" s="46">
        <f t="shared" ref="AY12" si="40">SUM(K12,Y12,AK12)</f>
        <v>55747</v>
      </c>
      <c r="AZ12" s="48">
        <f t="shared" ref="AZ12" si="41">L12+Z12+AL12</f>
        <v>258922</v>
      </c>
      <c r="BA12" s="49">
        <f t="shared" ref="BA12" si="42">M12+AA12+AM12</f>
        <v>6764</v>
      </c>
      <c r="BB12" s="49">
        <f t="shared" ref="BB12" si="43">N12+AB12+AN12</f>
        <v>75468</v>
      </c>
      <c r="BC12" s="50">
        <f t="shared" ref="BC12" si="44">SUM(AZ12:BB12)</f>
        <v>341154</v>
      </c>
      <c r="BD12" s="51"/>
    </row>
    <row r="13" spans="1:56" s="52" customFormat="1" ht="21.75" customHeight="1" x14ac:dyDescent="0.15">
      <c r="A13" s="26">
        <v>46179</v>
      </c>
      <c r="B13" s="27">
        <v>0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3">
        <v>0</v>
      </c>
      <c r="I13" s="34">
        <v>0</v>
      </c>
      <c r="J13" s="35">
        <v>0</v>
      </c>
      <c r="K13" s="36">
        <v>0</v>
      </c>
      <c r="L13" s="37">
        <v>0</v>
      </c>
      <c r="M13" s="38">
        <v>0</v>
      </c>
      <c r="N13" s="38">
        <v>0</v>
      </c>
      <c r="O13" s="39">
        <v>0</v>
      </c>
      <c r="P13" s="40">
        <v>0</v>
      </c>
      <c r="Q13" s="28">
        <v>0</v>
      </c>
      <c r="R13" s="29">
        <v>0</v>
      </c>
      <c r="S13" s="30">
        <v>0</v>
      </c>
      <c r="T13" s="31">
        <v>0</v>
      </c>
      <c r="U13" s="32">
        <v>0</v>
      </c>
      <c r="V13" s="33">
        <v>0</v>
      </c>
      <c r="W13" s="34">
        <v>0</v>
      </c>
      <c r="X13" s="35">
        <v>0</v>
      </c>
      <c r="Y13" s="36">
        <v>0</v>
      </c>
      <c r="Z13" s="37">
        <v>0</v>
      </c>
      <c r="AA13" s="38">
        <v>0</v>
      </c>
      <c r="AB13" s="38">
        <v>0</v>
      </c>
      <c r="AC13" s="39">
        <v>0</v>
      </c>
      <c r="AD13" s="45">
        <v>0</v>
      </c>
      <c r="AE13" s="28">
        <v>0</v>
      </c>
      <c r="AF13" s="41">
        <v>0</v>
      </c>
      <c r="AG13" s="32">
        <v>0</v>
      </c>
      <c r="AH13" s="35">
        <v>0</v>
      </c>
      <c r="AI13" s="43">
        <v>0</v>
      </c>
      <c r="AJ13" s="35">
        <v>0</v>
      </c>
      <c r="AK13" s="43">
        <v>0</v>
      </c>
      <c r="AL13" s="44">
        <v>0</v>
      </c>
      <c r="AM13" s="38">
        <v>0</v>
      </c>
      <c r="AN13" s="38">
        <v>0</v>
      </c>
      <c r="AO13" s="39">
        <v>0</v>
      </c>
      <c r="AP13" s="40">
        <v>0</v>
      </c>
      <c r="AQ13" s="28">
        <v>0</v>
      </c>
      <c r="AR13" s="41">
        <v>0</v>
      </c>
      <c r="AS13" s="30">
        <v>0</v>
      </c>
      <c r="AT13" s="30">
        <v>0</v>
      </c>
      <c r="AU13" s="42">
        <v>0</v>
      </c>
      <c r="AV13" s="33">
        <v>0</v>
      </c>
      <c r="AW13" s="46">
        <v>0</v>
      </c>
      <c r="AX13" s="33">
        <v>0</v>
      </c>
      <c r="AY13" s="46">
        <v>0</v>
      </c>
      <c r="AZ13" s="48">
        <v>0</v>
      </c>
      <c r="BA13" s="49">
        <v>0</v>
      </c>
      <c r="BB13" s="49">
        <v>0</v>
      </c>
      <c r="BC13" s="50">
        <v>0</v>
      </c>
      <c r="BD13" s="51"/>
    </row>
    <row r="14" spans="1:56" s="52" customFormat="1" ht="21.75" customHeight="1" x14ac:dyDescent="0.15">
      <c r="A14" s="26">
        <v>46180</v>
      </c>
      <c r="B14" s="27">
        <v>0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3">
        <v>0</v>
      </c>
      <c r="I14" s="34">
        <v>0</v>
      </c>
      <c r="J14" s="35">
        <v>0</v>
      </c>
      <c r="K14" s="36">
        <v>0</v>
      </c>
      <c r="L14" s="37">
        <v>0</v>
      </c>
      <c r="M14" s="38">
        <v>0</v>
      </c>
      <c r="N14" s="38">
        <v>0</v>
      </c>
      <c r="O14" s="39">
        <v>0</v>
      </c>
      <c r="P14" s="40">
        <v>0</v>
      </c>
      <c r="Q14" s="28">
        <v>0</v>
      </c>
      <c r="R14" s="29">
        <v>0</v>
      </c>
      <c r="S14" s="30">
        <v>0</v>
      </c>
      <c r="T14" s="31">
        <v>0</v>
      </c>
      <c r="U14" s="32">
        <v>0</v>
      </c>
      <c r="V14" s="33">
        <v>0</v>
      </c>
      <c r="W14" s="34">
        <v>0</v>
      </c>
      <c r="X14" s="35">
        <v>0</v>
      </c>
      <c r="Y14" s="36">
        <v>0</v>
      </c>
      <c r="Z14" s="37">
        <v>0</v>
      </c>
      <c r="AA14" s="38">
        <v>0</v>
      </c>
      <c r="AB14" s="38">
        <v>0</v>
      </c>
      <c r="AC14" s="39">
        <v>0</v>
      </c>
      <c r="AD14" s="45">
        <v>0</v>
      </c>
      <c r="AE14" s="28">
        <v>0</v>
      </c>
      <c r="AF14" s="41">
        <v>0</v>
      </c>
      <c r="AG14" s="32">
        <v>0</v>
      </c>
      <c r="AH14" s="35">
        <v>0</v>
      </c>
      <c r="AI14" s="43">
        <v>0</v>
      </c>
      <c r="AJ14" s="35">
        <v>0</v>
      </c>
      <c r="AK14" s="43">
        <v>0</v>
      </c>
      <c r="AL14" s="44">
        <v>0</v>
      </c>
      <c r="AM14" s="38">
        <v>0</v>
      </c>
      <c r="AN14" s="38">
        <v>0</v>
      </c>
      <c r="AO14" s="39">
        <v>0</v>
      </c>
      <c r="AP14" s="40">
        <v>0</v>
      </c>
      <c r="AQ14" s="28">
        <v>0</v>
      </c>
      <c r="AR14" s="41">
        <v>0</v>
      </c>
      <c r="AS14" s="30">
        <v>0</v>
      </c>
      <c r="AT14" s="30">
        <v>0</v>
      </c>
      <c r="AU14" s="42">
        <v>0</v>
      </c>
      <c r="AV14" s="33">
        <v>0</v>
      </c>
      <c r="AW14" s="46">
        <v>0</v>
      </c>
      <c r="AX14" s="33">
        <v>0</v>
      </c>
      <c r="AY14" s="46">
        <v>0</v>
      </c>
      <c r="AZ14" s="48">
        <v>0</v>
      </c>
      <c r="BA14" s="49">
        <v>0</v>
      </c>
      <c r="BB14" s="49">
        <v>0</v>
      </c>
      <c r="BC14" s="50">
        <v>0</v>
      </c>
      <c r="BD14" s="51"/>
    </row>
    <row r="15" spans="1:56" s="52" customFormat="1" ht="21.75" customHeight="1" x14ac:dyDescent="0.15">
      <c r="A15" s="53">
        <v>46181</v>
      </c>
      <c r="B15" s="27">
        <v>56573</v>
      </c>
      <c r="C15" s="28">
        <v>145000</v>
      </c>
      <c r="D15" s="29">
        <f>B15/C15</f>
        <v>0.39015862068965518</v>
      </c>
      <c r="E15" s="30">
        <v>195138</v>
      </c>
      <c r="F15" s="31">
        <v>542056</v>
      </c>
      <c r="G15" s="32">
        <f t="shared" ref="G15" si="45">B15+E15+F15</f>
        <v>793767</v>
      </c>
      <c r="H15" s="33">
        <v>0</v>
      </c>
      <c r="I15" s="34">
        <v>0</v>
      </c>
      <c r="J15" s="35">
        <v>0</v>
      </c>
      <c r="K15" s="36">
        <v>0</v>
      </c>
      <c r="L15" s="37">
        <v>56573</v>
      </c>
      <c r="M15" s="38">
        <v>0</v>
      </c>
      <c r="N15" s="38">
        <v>0</v>
      </c>
      <c r="O15" s="39">
        <f t="shared" ref="O15" si="46">SUM(L15:N15)</f>
        <v>56573</v>
      </c>
      <c r="P15" s="40">
        <v>98698</v>
      </c>
      <c r="Q15" s="28">
        <v>70000</v>
      </c>
      <c r="R15" s="29">
        <f>P15/Q15</f>
        <v>1.4099714285714287</v>
      </c>
      <c r="S15" s="30">
        <v>25578</v>
      </c>
      <c r="T15" s="31">
        <v>41700</v>
      </c>
      <c r="U15" s="32">
        <f t="shared" ref="U15" si="47">P15+S15+T15</f>
        <v>165976</v>
      </c>
      <c r="V15" s="33">
        <v>0</v>
      </c>
      <c r="W15" s="34">
        <v>0</v>
      </c>
      <c r="X15" s="35">
        <v>0</v>
      </c>
      <c r="Y15" s="36">
        <v>0</v>
      </c>
      <c r="Z15" s="37">
        <v>98698</v>
      </c>
      <c r="AA15" s="38">
        <v>0</v>
      </c>
      <c r="AB15" s="38">
        <v>0</v>
      </c>
      <c r="AC15" s="39">
        <f t="shared" ref="AC15" si="48">SUM(Z15:AB15)</f>
        <v>98698</v>
      </c>
      <c r="AD15" s="45">
        <v>195138</v>
      </c>
      <c r="AE15" s="28">
        <v>200000</v>
      </c>
      <c r="AF15" s="41">
        <f>AD15/AE15</f>
        <v>0.97568999999999995</v>
      </c>
      <c r="AG15" s="32">
        <f t="shared" ref="AG15" si="49">AD15</f>
        <v>195138</v>
      </c>
      <c r="AH15" s="35">
        <v>0</v>
      </c>
      <c r="AI15" s="43">
        <v>0</v>
      </c>
      <c r="AJ15" s="35">
        <v>0</v>
      </c>
      <c r="AK15" s="43">
        <v>0</v>
      </c>
      <c r="AL15" s="44">
        <v>161072</v>
      </c>
      <c r="AM15" s="38">
        <v>34066</v>
      </c>
      <c r="AN15" s="38">
        <v>0</v>
      </c>
      <c r="AO15" s="39">
        <f t="shared" ref="AO15" si="50">SUM(AL15:AN15)</f>
        <v>195138</v>
      </c>
      <c r="AP15" s="40">
        <f t="shared" ref="AP15" si="51">AD15+P15+B15</f>
        <v>350409</v>
      </c>
      <c r="AQ15" s="28">
        <v>415000</v>
      </c>
      <c r="AR15" s="41">
        <f>AP15/AQ15</f>
        <v>0.8443590361445783</v>
      </c>
      <c r="AS15" s="30">
        <f t="shared" ref="AS15" si="52">E15+S15</f>
        <v>220716</v>
      </c>
      <c r="AT15" s="30">
        <f t="shared" ref="AT15" si="53">F15+T15</f>
        <v>583756</v>
      </c>
      <c r="AU15" s="42">
        <f t="shared" ref="AU15" si="54">AP15+AS15+AT15</f>
        <v>1154881</v>
      </c>
      <c r="AV15" s="33">
        <f t="shared" ref="AV15" si="55">SUM(H15,V15,AH15)</f>
        <v>0</v>
      </c>
      <c r="AW15" s="46">
        <f t="shared" ref="AW15" si="56">SUM(I15,W15,AI15)</f>
        <v>0</v>
      </c>
      <c r="AX15" s="33">
        <f t="shared" ref="AX15" si="57">SUM(J15,X15,AJ15)</f>
        <v>0</v>
      </c>
      <c r="AY15" s="46">
        <f t="shared" ref="AY15" si="58">SUM(K15,Y15,AK15)</f>
        <v>0</v>
      </c>
      <c r="AZ15" s="48">
        <f t="shared" ref="AZ15" si="59">L15+Z15+AL15</f>
        <v>316343</v>
      </c>
      <c r="BA15" s="49">
        <f t="shared" ref="BA15" si="60">M15+AA15+AM15</f>
        <v>34066</v>
      </c>
      <c r="BB15" s="49">
        <f t="shared" ref="BB15" si="61">N15+AB15+AN15</f>
        <v>0</v>
      </c>
      <c r="BC15" s="50">
        <f t="shared" ref="BC15" si="62">SUM(AZ15:BB15)</f>
        <v>350409</v>
      </c>
      <c r="BD15" s="51"/>
    </row>
    <row r="16" spans="1:56" s="52" customFormat="1" ht="21.75" customHeight="1" x14ac:dyDescent="0.15">
      <c r="A16" s="53">
        <v>46182</v>
      </c>
      <c r="B16" s="27"/>
      <c r="C16" s="28"/>
      <c r="D16" s="29"/>
      <c r="E16" s="30"/>
      <c r="F16" s="31"/>
      <c r="G16" s="32"/>
      <c r="H16" s="33"/>
      <c r="I16" s="34"/>
      <c r="J16" s="35"/>
      <c r="K16" s="36"/>
      <c r="L16" s="37"/>
      <c r="M16" s="38"/>
      <c r="N16" s="38"/>
      <c r="O16" s="39"/>
      <c r="P16" s="40"/>
      <c r="Q16" s="28"/>
      <c r="R16" s="29"/>
      <c r="S16" s="30"/>
      <c r="T16" s="31"/>
      <c r="U16" s="32"/>
      <c r="V16" s="33"/>
      <c r="W16" s="34"/>
      <c r="X16" s="35"/>
      <c r="Y16" s="36"/>
      <c r="Z16" s="37"/>
      <c r="AA16" s="38"/>
      <c r="AB16" s="38"/>
      <c r="AC16" s="39"/>
      <c r="AD16" s="45"/>
      <c r="AE16" s="28"/>
      <c r="AF16" s="41"/>
      <c r="AG16" s="32"/>
      <c r="AH16" s="35"/>
      <c r="AI16" s="43"/>
      <c r="AJ16" s="35"/>
      <c r="AK16" s="43"/>
      <c r="AL16" s="44"/>
      <c r="AM16" s="38"/>
      <c r="AN16" s="38"/>
      <c r="AO16" s="39"/>
      <c r="AP16" s="40"/>
      <c r="AQ16" s="28"/>
      <c r="AR16" s="41"/>
      <c r="AS16" s="30"/>
      <c r="AT16" s="30"/>
      <c r="AU16" s="42"/>
      <c r="AV16" s="33"/>
      <c r="AW16" s="46"/>
      <c r="AX16" s="33"/>
      <c r="AY16" s="47"/>
      <c r="AZ16" s="48"/>
      <c r="BA16" s="49"/>
      <c r="BB16" s="49"/>
      <c r="BC16" s="50"/>
      <c r="BD16" s="51"/>
    </row>
    <row r="17" spans="1:56" s="52" customFormat="1" ht="21.75" customHeight="1" x14ac:dyDescent="0.15">
      <c r="A17" s="53">
        <v>46183</v>
      </c>
      <c r="B17" s="27"/>
      <c r="C17" s="28"/>
      <c r="D17" s="29"/>
      <c r="E17" s="30"/>
      <c r="F17" s="31"/>
      <c r="G17" s="32"/>
      <c r="H17" s="33"/>
      <c r="I17" s="34"/>
      <c r="J17" s="35"/>
      <c r="K17" s="36"/>
      <c r="L17" s="37"/>
      <c r="M17" s="38"/>
      <c r="N17" s="38"/>
      <c r="O17" s="39"/>
      <c r="P17" s="40"/>
      <c r="Q17" s="28"/>
      <c r="R17" s="29"/>
      <c r="S17" s="30"/>
      <c r="T17" s="31"/>
      <c r="U17" s="32"/>
      <c r="V17" s="33"/>
      <c r="W17" s="34"/>
      <c r="X17" s="35"/>
      <c r="Y17" s="36"/>
      <c r="Z17" s="37"/>
      <c r="AA17" s="38"/>
      <c r="AB17" s="38"/>
      <c r="AC17" s="39"/>
      <c r="AD17" s="45"/>
      <c r="AE17" s="28"/>
      <c r="AF17" s="41"/>
      <c r="AG17" s="32"/>
      <c r="AH17" s="35"/>
      <c r="AI17" s="43"/>
      <c r="AJ17" s="35"/>
      <c r="AK17" s="43"/>
      <c r="AL17" s="44"/>
      <c r="AM17" s="38"/>
      <c r="AN17" s="38"/>
      <c r="AO17" s="39"/>
      <c r="AP17" s="40"/>
      <c r="AQ17" s="28"/>
      <c r="AR17" s="41"/>
      <c r="AS17" s="30"/>
      <c r="AT17" s="30"/>
      <c r="AU17" s="42"/>
      <c r="AV17" s="33"/>
      <c r="AW17" s="46"/>
      <c r="AX17" s="33"/>
      <c r="AY17" s="46"/>
      <c r="AZ17" s="48"/>
      <c r="BA17" s="49"/>
      <c r="BB17" s="49"/>
      <c r="BC17" s="50"/>
      <c r="BD17" s="51"/>
    </row>
    <row r="18" spans="1:56" s="52" customFormat="1" ht="21.75" customHeight="1" x14ac:dyDescent="0.15">
      <c r="A18" s="53">
        <v>46184</v>
      </c>
      <c r="B18" s="27"/>
      <c r="C18" s="28"/>
      <c r="D18" s="29"/>
      <c r="E18" s="30"/>
      <c r="F18" s="31"/>
      <c r="G18" s="32"/>
      <c r="H18" s="33"/>
      <c r="I18" s="34"/>
      <c r="J18" s="35"/>
      <c r="K18" s="36"/>
      <c r="L18" s="37"/>
      <c r="M18" s="38"/>
      <c r="N18" s="38"/>
      <c r="O18" s="39"/>
      <c r="P18" s="40"/>
      <c r="Q18" s="28"/>
      <c r="R18" s="29"/>
      <c r="S18" s="30"/>
      <c r="T18" s="31"/>
      <c r="U18" s="32"/>
      <c r="V18" s="33"/>
      <c r="W18" s="34"/>
      <c r="X18" s="35"/>
      <c r="Y18" s="36"/>
      <c r="Z18" s="37"/>
      <c r="AA18" s="38"/>
      <c r="AB18" s="38"/>
      <c r="AC18" s="39"/>
      <c r="AD18" s="45"/>
      <c r="AE18" s="28"/>
      <c r="AF18" s="41"/>
      <c r="AG18" s="32"/>
      <c r="AH18" s="35"/>
      <c r="AI18" s="43"/>
      <c r="AJ18" s="35"/>
      <c r="AK18" s="43"/>
      <c r="AL18" s="44"/>
      <c r="AM18" s="38"/>
      <c r="AN18" s="38"/>
      <c r="AO18" s="39"/>
      <c r="AP18" s="40"/>
      <c r="AQ18" s="28"/>
      <c r="AR18" s="41"/>
      <c r="AS18" s="30"/>
      <c r="AT18" s="30"/>
      <c r="AU18" s="42"/>
      <c r="AV18" s="33"/>
      <c r="AW18" s="46"/>
      <c r="AX18" s="33"/>
      <c r="AY18" s="46"/>
      <c r="AZ18" s="48"/>
      <c r="BA18" s="49"/>
      <c r="BB18" s="49"/>
      <c r="BC18" s="50"/>
      <c r="BD18" s="51"/>
    </row>
    <row r="19" spans="1:56" s="52" customFormat="1" ht="21.75" customHeight="1" x14ac:dyDescent="0.15">
      <c r="A19" s="53">
        <v>46185</v>
      </c>
      <c r="B19" s="27"/>
      <c r="C19" s="28"/>
      <c r="D19" s="29"/>
      <c r="E19" s="30"/>
      <c r="F19" s="31"/>
      <c r="G19" s="32"/>
      <c r="H19" s="33"/>
      <c r="I19" s="34"/>
      <c r="J19" s="35"/>
      <c r="K19" s="36"/>
      <c r="L19" s="37"/>
      <c r="M19" s="38"/>
      <c r="N19" s="38"/>
      <c r="O19" s="39"/>
      <c r="P19" s="40"/>
      <c r="Q19" s="28"/>
      <c r="R19" s="29"/>
      <c r="S19" s="30"/>
      <c r="T19" s="31"/>
      <c r="U19" s="32"/>
      <c r="V19" s="33"/>
      <c r="W19" s="34"/>
      <c r="X19" s="35"/>
      <c r="Y19" s="36"/>
      <c r="Z19" s="37"/>
      <c r="AA19" s="38"/>
      <c r="AB19" s="38"/>
      <c r="AC19" s="39"/>
      <c r="AD19" s="45"/>
      <c r="AE19" s="28"/>
      <c r="AF19" s="41"/>
      <c r="AG19" s="32"/>
      <c r="AH19" s="35"/>
      <c r="AI19" s="43"/>
      <c r="AJ19" s="35"/>
      <c r="AK19" s="43"/>
      <c r="AL19" s="44"/>
      <c r="AM19" s="38"/>
      <c r="AN19" s="38"/>
      <c r="AO19" s="39"/>
      <c r="AP19" s="40"/>
      <c r="AQ19" s="28"/>
      <c r="AR19" s="41"/>
      <c r="AS19" s="30"/>
      <c r="AT19" s="30"/>
      <c r="AU19" s="42"/>
      <c r="AV19" s="33"/>
      <c r="AW19" s="46"/>
      <c r="AX19" s="33"/>
      <c r="AY19" s="46"/>
      <c r="AZ19" s="48"/>
      <c r="BA19" s="49"/>
      <c r="BB19" s="49"/>
      <c r="BC19" s="50"/>
      <c r="BD19" s="51"/>
    </row>
    <row r="20" spans="1:56" s="52" customFormat="1" ht="21.75" customHeight="1" x14ac:dyDescent="0.15">
      <c r="A20" s="26">
        <v>46186</v>
      </c>
      <c r="B20" s="27"/>
      <c r="C20" s="28"/>
      <c r="D20" s="29"/>
      <c r="E20" s="30"/>
      <c r="F20" s="31"/>
      <c r="G20" s="32"/>
      <c r="H20" s="33"/>
      <c r="I20" s="34"/>
      <c r="J20" s="35"/>
      <c r="K20" s="36"/>
      <c r="L20" s="37"/>
      <c r="M20" s="38"/>
      <c r="N20" s="38"/>
      <c r="O20" s="39"/>
      <c r="P20" s="40"/>
      <c r="Q20" s="28"/>
      <c r="R20" s="29"/>
      <c r="S20" s="30"/>
      <c r="T20" s="31"/>
      <c r="U20" s="32"/>
      <c r="V20" s="33"/>
      <c r="W20" s="34"/>
      <c r="X20" s="35"/>
      <c r="Y20" s="36"/>
      <c r="Z20" s="37"/>
      <c r="AA20" s="38"/>
      <c r="AB20" s="38"/>
      <c r="AC20" s="39"/>
      <c r="AD20" s="45"/>
      <c r="AE20" s="28"/>
      <c r="AF20" s="41"/>
      <c r="AG20" s="32"/>
      <c r="AH20" s="35"/>
      <c r="AI20" s="43"/>
      <c r="AJ20" s="35"/>
      <c r="AK20" s="43"/>
      <c r="AL20" s="44"/>
      <c r="AM20" s="38"/>
      <c r="AN20" s="38"/>
      <c r="AO20" s="39"/>
      <c r="AP20" s="40"/>
      <c r="AQ20" s="28"/>
      <c r="AR20" s="41"/>
      <c r="AS20" s="30"/>
      <c r="AT20" s="30"/>
      <c r="AU20" s="42"/>
      <c r="AV20" s="33"/>
      <c r="AW20" s="46"/>
      <c r="AX20" s="33"/>
      <c r="AY20" s="47"/>
      <c r="AZ20" s="48"/>
      <c r="BA20" s="49"/>
      <c r="BB20" s="49"/>
      <c r="BC20" s="50"/>
      <c r="BD20" s="51"/>
    </row>
    <row r="21" spans="1:56" s="52" customFormat="1" ht="21.75" customHeight="1" x14ac:dyDescent="0.15">
      <c r="A21" s="26">
        <v>46187</v>
      </c>
      <c r="B21" s="27"/>
      <c r="C21" s="28"/>
      <c r="D21" s="29"/>
      <c r="E21" s="30"/>
      <c r="F21" s="31"/>
      <c r="G21" s="32"/>
      <c r="H21" s="33"/>
      <c r="I21" s="34"/>
      <c r="J21" s="35"/>
      <c r="K21" s="36"/>
      <c r="L21" s="37"/>
      <c r="M21" s="38"/>
      <c r="N21" s="38"/>
      <c r="O21" s="39"/>
      <c r="P21" s="40"/>
      <c r="Q21" s="28"/>
      <c r="R21" s="29"/>
      <c r="S21" s="30"/>
      <c r="T21" s="31"/>
      <c r="U21" s="32"/>
      <c r="V21" s="33"/>
      <c r="W21" s="34"/>
      <c r="X21" s="35"/>
      <c r="Y21" s="36"/>
      <c r="Z21" s="37"/>
      <c r="AA21" s="38"/>
      <c r="AB21" s="38"/>
      <c r="AC21" s="39"/>
      <c r="AD21" s="45"/>
      <c r="AE21" s="28"/>
      <c r="AF21" s="41"/>
      <c r="AG21" s="32"/>
      <c r="AH21" s="35"/>
      <c r="AI21" s="43"/>
      <c r="AJ21" s="35"/>
      <c r="AK21" s="43"/>
      <c r="AL21" s="44"/>
      <c r="AM21" s="38"/>
      <c r="AN21" s="38"/>
      <c r="AO21" s="39"/>
      <c r="AP21" s="40"/>
      <c r="AQ21" s="28"/>
      <c r="AR21" s="41"/>
      <c r="AS21" s="30"/>
      <c r="AT21" s="30"/>
      <c r="AU21" s="42"/>
      <c r="AV21" s="33"/>
      <c r="AW21" s="46"/>
      <c r="AX21" s="33"/>
      <c r="AY21" s="46"/>
      <c r="AZ21" s="48"/>
      <c r="BA21" s="49"/>
      <c r="BB21" s="49"/>
      <c r="BC21" s="50"/>
      <c r="BD21" s="51"/>
    </row>
    <row r="22" spans="1:56" s="52" customFormat="1" ht="21.75" customHeight="1" x14ac:dyDescent="0.15">
      <c r="A22" s="53">
        <v>46188</v>
      </c>
      <c r="B22" s="27"/>
      <c r="C22" s="28"/>
      <c r="D22" s="29"/>
      <c r="E22" s="30"/>
      <c r="F22" s="31"/>
      <c r="G22" s="32"/>
      <c r="H22" s="33"/>
      <c r="I22" s="34"/>
      <c r="J22" s="35"/>
      <c r="K22" s="36"/>
      <c r="L22" s="37"/>
      <c r="M22" s="38"/>
      <c r="N22" s="38"/>
      <c r="O22" s="39"/>
      <c r="P22" s="40"/>
      <c r="Q22" s="28"/>
      <c r="R22" s="29"/>
      <c r="S22" s="30"/>
      <c r="T22" s="31"/>
      <c r="U22" s="32"/>
      <c r="V22" s="33"/>
      <c r="W22" s="34"/>
      <c r="X22" s="35"/>
      <c r="Y22" s="36"/>
      <c r="Z22" s="37"/>
      <c r="AA22" s="38"/>
      <c r="AB22" s="38"/>
      <c r="AC22" s="39"/>
      <c r="AD22" s="45"/>
      <c r="AE22" s="28"/>
      <c r="AF22" s="41"/>
      <c r="AG22" s="32"/>
      <c r="AH22" s="35"/>
      <c r="AI22" s="43"/>
      <c r="AJ22" s="35"/>
      <c r="AK22" s="43"/>
      <c r="AL22" s="44"/>
      <c r="AM22" s="38"/>
      <c r="AN22" s="38"/>
      <c r="AO22" s="39"/>
      <c r="AP22" s="40"/>
      <c r="AQ22" s="28"/>
      <c r="AR22" s="41"/>
      <c r="AS22" s="30"/>
      <c r="AT22" s="30"/>
      <c r="AU22" s="42"/>
      <c r="AV22" s="33"/>
      <c r="AW22" s="46"/>
      <c r="AX22" s="33"/>
      <c r="AY22" s="46"/>
      <c r="AZ22" s="48"/>
      <c r="BA22" s="49"/>
      <c r="BB22" s="49"/>
      <c r="BC22" s="50"/>
      <c r="BD22" s="51"/>
    </row>
    <row r="23" spans="1:56" s="52" customFormat="1" ht="21.75" customHeight="1" x14ac:dyDescent="0.15">
      <c r="A23" s="53">
        <v>46189</v>
      </c>
      <c r="B23" s="27"/>
      <c r="C23" s="28"/>
      <c r="D23" s="29"/>
      <c r="E23" s="30"/>
      <c r="F23" s="31"/>
      <c r="G23" s="32"/>
      <c r="H23" s="33"/>
      <c r="I23" s="34"/>
      <c r="J23" s="35"/>
      <c r="K23" s="36"/>
      <c r="L23" s="37"/>
      <c r="M23" s="38"/>
      <c r="N23" s="38"/>
      <c r="O23" s="39"/>
      <c r="P23" s="40"/>
      <c r="Q23" s="28"/>
      <c r="R23" s="29"/>
      <c r="S23" s="30"/>
      <c r="T23" s="31"/>
      <c r="U23" s="32"/>
      <c r="V23" s="33"/>
      <c r="W23" s="34"/>
      <c r="X23" s="35"/>
      <c r="Y23" s="36"/>
      <c r="Z23" s="37"/>
      <c r="AA23" s="38"/>
      <c r="AB23" s="38"/>
      <c r="AC23" s="39"/>
      <c r="AD23" s="45"/>
      <c r="AE23" s="28"/>
      <c r="AF23" s="41"/>
      <c r="AG23" s="32"/>
      <c r="AH23" s="35"/>
      <c r="AI23" s="43"/>
      <c r="AJ23" s="35"/>
      <c r="AK23" s="43"/>
      <c r="AL23" s="44"/>
      <c r="AM23" s="38"/>
      <c r="AN23" s="38"/>
      <c r="AO23" s="39"/>
      <c r="AP23" s="40"/>
      <c r="AQ23" s="28"/>
      <c r="AR23" s="41"/>
      <c r="AS23" s="30"/>
      <c r="AT23" s="30"/>
      <c r="AU23" s="42"/>
      <c r="AV23" s="33"/>
      <c r="AW23" s="46"/>
      <c r="AX23" s="33"/>
      <c r="AY23" s="47"/>
      <c r="AZ23" s="48"/>
      <c r="BA23" s="49"/>
      <c r="BB23" s="49"/>
      <c r="BC23" s="50"/>
      <c r="BD23" s="51"/>
    </row>
    <row r="24" spans="1:56" s="52" customFormat="1" ht="21.75" customHeight="1" x14ac:dyDescent="0.15">
      <c r="A24" s="53">
        <v>46190</v>
      </c>
      <c r="B24" s="27"/>
      <c r="C24" s="28"/>
      <c r="D24" s="29"/>
      <c r="E24" s="30"/>
      <c r="F24" s="31"/>
      <c r="G24" s="32"/>
      <c r="H24" s="33"/>
      <c r="I24" s="34"/>
      <c r="J24" s="35"/>
      <c r="K24" s="36"/>
      <c r="L24" s="37"/>
      <c r="M24" s="38"/>
      <c r="N24" s="38"/>
      <c r="O24" s="39"/>
      <c r="P24" s="40"/>
      <c r="Q24" s="28"/>
      <c r="R24" s="29"/>
      <c r="S24" s="30"/>
      <c r="T24" s="31"/>
      <c r="U24" s="32"/>
      <c r="V24" s="33"/>
      <c r="W24" s="34"/>
      <c r="X24" s="35"/>
      <c r="Y24" s="36"/>
      <c r="Z24" s="37"/>
      <c r="AA24" s="38"/>
      <c r="AB24" s="38"/>
      <c r="AC24" s="39"/>
      <c r="AD24" s="45"/>
      <c r="AE24" s="28"/>
      <c r="AF24" s="41"/>
      <c r="AG24" s="32"/>
      <c r="AH24" s="35"/>
      <c r="AI24" s="43"/>
      <c r="AJ24" s="35"/>
      <c r="AK24" s="43"/>
      <c r="AL24" s="44"/>
      <c r="AM24" s="38"/>
      <c r="AN24" s="38"/>
      <c r="AO24" s="39"/>
      <c r="AP24" s="40"/>
      <c r="AQ24" s="28"/>
      <c r="AR24" s="41"/>
      <c r="AS24" s="30"/>
      <c r="AT24" s="30"/>
      <c r="AU24" s="42"/>
      <c r="AV24" s="33"/>
      <c r="AW24" s="46"/>
      <c r="AX24" s="33"/>
      <c r="AY24" s="46"/>
      <c r="AZ24" s="48"/>
      <c r="BA24" s="49"/>
      <c r="BB24" s="49"/>
      <c r="BC24" s="50"/>
      <c r="BD24" s="51"/>
    </row>
    <row r="25" spans="1:56" s="52" customFormat="1" ht="21.75" customHeight="1" x14ac:dyDescent="0.15">
      <c r="A25" s="53">
        <v>46191</v>
      </c>
      <c r="B25" s="27"/>
      <c r="C25" s="28"/>
      <c r="D25" s="29"/>
      <c r="E25" s="30"/>
      <c r="F25" s="31"/>
      <c r="G25" s="32"/>
      <c r="H25" s="33"/>
      <c r="I25" s="34"/>
      <c r="J25" s="35"/>
      <c r="K25" s="36"/>
      <c r="L25" s="37"/>
      <c r="M25" s="38"/>
      <c r="N25" s="38"/>
      <c r="O25" s="39"/>
      <c r="P25" s="40"/>
      <c r="Q25" s="28"/>
      <c r="R25" s="29"/>
      <c r="S25" s="30"/>
      <c r="T25" s="31"/>
      <c r="U25" s="32"/>
      <c r="V25" s="33"/>
      <c r="W25" s="34"/>
      <c r="X25" s="35"/>
      <c r="Y25" s="36"/>
      <c r="Z25" s="37"/>
      <c r="AA25" s="38"/>
      <c r="AB25" s="38"/>
      <c r="AC25" s="39"/>
      <c r="AD25" s="45"/>
      <c r="AE25" s="28"/>
      <c r="AF25" s="41"/>
      <c r="AG25" s="32"/>
      <c r="AH25" s="35"/>
      <c r="AI25" s="43"/>
      <c r="AJ25" s="35"/>
      <c r="AK25" s="43"/>
      <c r="AL25" s="44"/>
      <c r="AM25" s="38"/>
      <c r="AN25" s="38"/>
      <c r="AO25" s="39"/>
      <c r="AP25" s="40"/>
      <c r="AQ25" s="28"/>
      <c r="AR25" s="41"/>
      <c r="AS25" s="30"/>
      <c r="AT25" s="30"/>
      <c r="AU25" s="42"/>
      <c r="AV25" s="33"/>
      <c r="AW25" s="46"/>
      <c r="AX25" s="33"/>
      <c r="AY25" s="46"/>
      <c r="AZ25" s="48"/>
      <c r="BA25" s="49"/>
      <c r="BB25" s="49"/>
      <c r="BC25" s="50"/>
      <c r="BD25" s="51"/>
    </row>
    <row r="26" spans="1:56" s="52" customFormat="1" ht="21.75" customHeight="1" x14ac:dyDescent="0.15">
      <c r="A26" s="53">
        <v>46192</v>
      </c>
      <c r="B26" s="27"/>
      <c r="C26" s="28"/>
      <c r="D26" s="29"/>
      <c r="E26" s="30"/>
      <c r="F26" s="31"/>
      <c r="G26" s="32"/>
      <c r="H26" s="33"/>
      <c r="I26" s="34"/>
      <c r="J26" s="35"/>
      <c r="K26" s="36"/>
      <c r="L26" s="37"/>
      <c r="M26" s="38"/>
      <c r="N26" s="38"/>
      <c r="O26" s="39"/>
      <c r="P26" s="40"/>
      <c r="Q26" s="28"/>
      <c r="R26" s="29"/>
      <c r="S26" s="30"/>
      <c r="T26" s="31"/>
      <c r="U26" s="32"/>
      <c r="V26" s="33"/>
      <c r="W26" s="34"/>
      <c r="X26" s="35"/>
      <c r="Y26" s="36"/>
      <c r="Z26" s="37"/>
      <c r="AA26" s="38"/>
      <c r="AB26" s="38"/>
      <c r="AC26" s="39"/>
      <c r="AD26" s="45"/>
      <c r="AE26" s="28"/>
      <c r="AF26" s="41"/>
      <c r="AG26" s="32"/>
      <c r="AH26" s="35"/>
      <c r="AI26" s="43"/>
      <c r="AJ26" s="35"/>
      <c r="AK26" s="43"/>
      <c r="AL26" s="44"/>
      <c r="AM26" s="38"/>
      <c r="AN26" s="38"/>
      <c r="AO26" s="39"/>
      <c r="AP26" s="40"/>
      <c r="AQ26" s="28"/>
      <c r="AR26" s="41"/>
      <c r="AS26" s="30"/>
      <c r="AT26" s="30"/>
      <c r="AU26" s="42"/>
      <c r="AV26" s="33"/>
      <c r="AW26" s="46"/>
      <c r="AX26" s="33"/>
      <c r="AY26" s="46"/>
      <c r="AZ26" s="48"/>
      <c r="BA26" s="49"/>
      <c r="BB26" s="49"/>
      <c r="BC26" s="50"/>
      <c r="BD26" s="51"/>
    </row>
    <row r="27" spans="1:56" s="52" customFormat="1" ht="21.75" customHeight="1" x14ac:dyDescent="0.15">
      <c r="A27" s="26">
        <v>46193</v>
      </c>
      <c r="B27" s="27"/>
      <c r="C27" s="28"/>
      <c r="D27" s="29"/>
      <c r="E27" s="30"/>
      <c r="F27" s="31"/>
      <c r="G27" s="32"/>
      <c r="H27" s="33"/>
      <c r="I27" s="34"/>
      <c r="J27" s="35"/>
      <c r="K27" s="36"/>
      <c r="L27" s="37"/>
      <c r="M27" s="38"/>
      <c r="N27" s="38"/>
      <c r="O27" s="39"/>
      <c r="P27" s="40"/>
      <c r="Q27" s="28"/>
      <c r="R27" s="29"/>
      <c r="S27" s="30"/>
      <c r="T27" s="31"/>
      <c r="U27" s="32"/>
      <c r="V27" s="33"/>
      <c r="W27" s="34"/>
      <c r="X27" s="35"/>
      <c r="Y27" s="36"/>
      <c r="Z27" s="37"/>
      <c r="AA27" s="38"/>
      <c r="AB27" s="38"/>
      <c r="AC27" s="39"/>
      <c r="AD27" s="45"/>
      <c r="AE27" s="28"/>
      <c r="AF27" s="41"/>
      <c r="AG27" s="32"/>
      <c r="AH27" s="35"/>
      <c r="AI27" s="43"/>
      <c r="AJ27" s="35"/>
      <c r="AK27" s="43"/>
      <c r="AL27" s="44"/>
      <c r="AM27" s="38"/>
      <c r="AN27" s="38"/>
      <c r="AO27" s="39"/>
      <c r="AP27" s="40"/>
      <c r="AQ27" s="28"/>
      <c r="AR27" s="41"/>
      <c r="AS27" s="30"/>
      <c r="AT27" s="30"/>
      <c r="AU27" s="42"/>
      <c r="AV27" s="33"/>
      <c r="AW27" s="46"/>
      <c r="AX27" s="33"/>
      <c r="AY27" s="47"/>
      <c r="AZ27" s="48"/>
      <c r="BA27" s="49"/>
      <c r="BB27" s="49"/>
      <c r="BC27" s="50"/>
      <c r="BD27" s="51"/>
    </row>
    <row r="28" spans="1:56" s="52" customFormat="1" ht="21.75" customHeight="1" x14ac:dyDescent="0.15">
      <c r="A28" s="26">
        <v>46194</v>
      </c>
      <c r="B28" s="27"/>
      <c r="C28" s="28"/>
      <c r="D28" s="29"/>
      <c r="E28" s="30"/>
      <c r="F28" s="31"/>
      <c r="G28" s="32"/>
      <c r="H28" s="33"/>
      <c r="I28" s="34"/>
      <c r="J28" s="35"/>
      <c r="K28" s="36"/>
      <c r="L28" s="37"/>
      <c r="M28" s="38"/>
      <c r="N28" s="38"/>
      <c r="O28" s="39"/>
      <c r="P28" s="40"/>
      <c r="Q28" s="28"/>
      <c r="R28" s="29"/>
      <c r="S28" s="30"/>
      <c r="T28" s="31"/>
      <c r="U28" s="32"/>
      <c r="V28" s="33"/>
      <c r="W28" s="34"/>
      <c r="X28" s="35"/>
      <c r="Y28" s="36"/>
      <c r="Z28" s="37"/>
      <c r="AA28" s="38"/>
      <c r="AB28" s="38"/>
      <c r="AC28" s="39"/>
      <c r="AD28" s="45"/>
      <c r="AE28" s="28"/>
      <c r="AF28" s="41"/>
      <c r="AG28" s="32"/>
      <c r="AH28" s="35"/>
      <c r="AI28" s="43"/>
      <c r="AJ28" s="35"/>
      <c r="AK28" s="43"/>
      <c r="AL28" s="44"/>
      <c r="AM28" s="38"/>
      <c r="AN28" s="38"/>
      <c r="AO28" s="39"/>
      <c r="AP28" s="40"/>
      <c r="AQ28" s="28"/>
      <c r="AR28" s="41"/>
      <c r="AS28" s="30"/>
      <c r="AT28" s="30"/>
      <c r="AU28" s="42"/>
      <c r="AV28" s="33"/>
      <c r="AW28" s="46"/>
      <c r="AX28" s="33"/>
      <c r="AY28" s="46"/>
      <c r="AZ28" s="48"/>
      <c r="BA28" s="49"/>
      <c r="BB28" s="49"/>
      <c r="BC28" s="50"/>
      <c r="BD28" s="51"/>
    </row>
    <row r="29" spans="1:56" s="52" customFormat="1" ht="21.75" customHeight="1" x14ac:dyDescent="0.15">
      <c r="A29" s="53">
        <v>46195</v>
      </c>
      <c r="B29" s="27"/>
      <c r="C29" s="28"/>
      <c r="D29" s="29"/>
      <c r="E29" s="30"/>
      <c r="F29" s="31"/>
      <c r="G29" s="32"/>
      <c r="H29" s="33"/>
      <c r="I29" s="34"/>
      <c r="J29" s="35"/>
      <c r="K29" s="36"/>
      <c r="L29" s="37"/>
      <c r="M29" s="38"/>
      <c r="N29" s="38"/>
      <c r="O29" s="39"/>
      <c r="P29" s="40"/>
      <c r="Q29" s="28"/>
      <c r="R29" s="29"/>
      <c r="S29" s="30"/>
      <c r="T29" s="31"/>
      <c r="U29" s="32"/>
      <c r="V29" s="33"/>
      <c r="W29" s="34"/>
      <c r="X29" s="35"/>
      <c r="Y29" s="36"/>
      <c r="Z29" s="37"/>
      <c r="AA29" s="38"/>
      <c r="AB29" s="38"/>
      <c r="AC29" s="39"/>
      <c r="AD29" s="45"/>
      <c r="AE29" s="28"/>
      <c r="AF29" s="41"/>
      <c r="AG29" s="32"/>
      <c r="AH29" s="35"/>
      <c r="AI29" s="43"/>
      <c r="AJ29" s="35"/>
      <c r="AK29" s="43"/>
      <c r="AL29" s="44"/>
      <c r="AM29" s="38"/>
      <c r="AN29" s="38"/>
      <c r="AO29" s="39"/>
      <c r="AP29" s="40"/>
      <c r="AQ29" s="28"/>
      <c r="AR29" s="41"/>
      <c r="AS29" s="30"/>
      <c r="AT29" s="30"/>
      <c r="AU29" s="42"/>
      <c r="AV29" s="33"/>
      <c r="AW29" s="46"/>
      <c r="AX29" s="33"/>
      <c r="AY29" s="46"/>
      <c r="AZ29" s="48"/>
      <c r="BA29" s="49"/>
      <c r="BB29" s="49"/>
      <c r="BC29" s="50"/>
      <c r="BD29" s="51"/>
    </row>
    <row r="30" spans="1:56" s="52" customFormat="1" ht="21.75" customHeight="1" x14ac:dyDescent="0.15">
      <c r="A30" s="53">
        <v>46196</v>
      </c>
      <c r="B30" s="27"/>
      <c r="C30" s="28"/>
      <c r="D30" s="29"/>
      <c r="E30" s="30"/>
      <c r="F30" s="31"/>
      <c r="G30" s="32"/>
      <c r="H30" s="33"/>
      <c r="I30" s="34"/>
      <c r="J30" s="35"/>
      <c r="K30" s="36"/>
      <c r="L30" s="37"/>
      <c r="M30" s="38"/>
      <c r="N30" s="38"/>
      <c r="O30" s="39"/>
      <c r="P30" s="40"/>
      <c r="Q30" s="28"/>
      <c r="R30" s="29"/>
      <c r="S30" s="30"/>
      <c r="T30" s="31"/>
      <c r="U30" s="32"/>
      <c r="V30" s="33"/>
      <c r="W30" s="34"/>
      <c r="X30" s="35"/>
      <c r="Y30" s="36"/>
      <c r="Z30" s="37"/>
      <c r="AA30" s="38"/>
      <c r="AB30" s="38"/>
      <c r="AC30" s="39"/>
      <c r="AD30" s="45"/>
      <c r="AE30" s="28"/>
      <c r="AF30" s="41"/>
      <c r="AG30" s="32"/>
      <c r="AH30" s="35"/>
      <c r="AI30" s="43"/>
      <c r="AJ30" s="35"/>
      <c r="AK30" s="43"/>
      <c r="AL30" s="44"/>
      <c r="AM30" s="38"/>
      <c r="AN30" s="38"/>
      <c r="AO30" s="39"/>
      <c r="AP30" s="40"/>
      <c r="AQ30" s="28"/>
      <c r="AR30" s="41"/>
      <c r="AS30" s="30"/>
      <c r="AT30" s="30"/>
      <c r="AU30" s="42"/>
      <c r="AV30" s="33"/>
      <c r="AW30" s="46"/>
      <c r="AX30" s="33"/>
      <c r="AY30" s="47"/>
      <c r="AZ30" s="48"/>
      <c r="BA30" s="49"/>
      <c r="BB30" s="49"/>
      <c r="BC30" s="50"/>
      <c r="BD30" s="51"/>
    </row>
    <row r="31" spans="1:56" s="52" customFormat="1" ht="21.75" customHeight="1" x14ac:dyDescent="0.15">
      <c r="A31" s="53">
        <v>46197</v>
      </c>
      <c r="B31" s="27"/>
      <c r="C31" s="28"/>
      <c r="D31" s="29"/>
      <c r="E31" s="30"/>
      <c r="F31" s="31"/>
      <c r="G31" s="32"/>
      <c r="H31" s="33"/>
      <c r="I31" s="34"/>
      <c r="J31" s="35"/>
      <c r="K31" s="36"/>
      <c r="L31" s="37"/>
      <c r="M31" s="38"/>
      <c r="N31" s="38"/>
      <c r="O31" s="39"/>
      <c r="P31" s="40"/>
      <c r="Q31" s="28"/>
      <c r="R31" s="29"/>
      <c r="S31" s="30"/>
      <c r="T31" s="31"/>
      <c r="U31" s="32"/>
      <c r="V31" s="33"/>
      <c r="W31" s="34"/>
      <c r="X31" s="35"/>
      <c r="Y31" s="36"/>
      <c r="Z31" s="37"/>
      <c r="AA31" s="38"/>
      <c r="AB31" s="38"/>
      <c r="AC31" s="39"/>
      <c r="AD31" s="45"/>
      <c r="AE31" s="28"/>
      <c r="AF31" s="41"/>
      <c r="AG31" s="32"/>
      <c r="AH31" s="35"/>
      <c r="AI31" s="43"/>
      <c r="AJ31" s="35"/>
      <c r="AK31" s="43"/>
      <c r="AL31" s="44"/>
      <c r="AM31" s="38"/>
      <c r="AN31" s="38"/>
      <c r="AO31" s="39"/>
      <c r="AP31" s="40"/>
      <c r="AQ31" s="28"/>
      <c r="AR31" s="41"/>
      <c r="AS31" s="30"/>
      <c r="AT31" s="30"/>
      <c r="AU31" s="42"/>
      <c r="AV31" s="33"/>
      <c r="AW31" s="46"/>
      <c r="AX31" s="33"/>
      <c r="AY31" s="46"/>
      <c r="AZ31" s="48"/>
      <c r="BA31" s="49"/>
      <c r="BB31" s="49"/>
      <c r="BC31" s="50"/>
      <c r="BD31" s="51"/>
    </row>
    <row r="32" spans="1:56" s="52" customFormat="1" ht="21.75" customHeight="1" x14ac:dyDescent="0.15">
      <c r="A32" s="53">
        <v>46198</v>
      </c>
      <c r="B32" s="27"/>
      <c r="C32" s="28"/>
      <c r="D32" s="29"/>
      <c r="E32" s="30"/>
      <c r="F32" s="31"/>
      <c r="G32" s="32"/>
      <c r="H32" s="33"/>
      <c r="I32" s="34"/>
      <c r="J32" s="35"/>
      <c r="K32" s="36"/>
      <c r="L32" s="37"/>
      <c r="M32" s="38"/>
      <c r="N32" s="38"/>
      <c r="O32" s="39"/>
      <c r="P32" s="40"/>
      <c r="Q32" s="28"/>
      <c r="R32" s="29"/>
      <c r="S32" s="30"/>
      <c r="T32" s="31"/>
      <c r="U32" s="32"/>
      <c r="V32" s="33"/>
      <c r="W32" s="34"/>
      <c r="X32" s="35"/>
      <c r="Y32" s="36"/>
      <c r="Z32" s="37"/>
      <c r="AA32" s="38"/>
      <c r="AB32" s="38"/>
      <c r="AC32" s="39"/>
      <c r="AD32" s="45"/>
      <c r="AE32" s="28"/>
      <c r="AF32" s="41"/>
      <c r="AG32" s="32"/>
      <c r="AH32" s="35"/>
      <c r="AI32" s="43"/>
      <c r="AJ32" s="35"/>
      <c r="AK32" s="43"/>
      <c r="AL32" s="44"/>
      <c r="AM32" s="38"/>
      <c r="AN32" s="38"/>
      <c r="AO32" s="39"/>
      <c r="AP32" s="40"/>
      <c r="AQ32" s="28"/>
      <c r="AR32" s="41"/>
      <c r="AS32" s="30"/>
      <c r="AT32" s="30"/>
      <c r="AU32" s="42"/>
      <c r="AV32" s="33"/>
      <c r="AW32" s="46"/>
      <c r="AX32" s="33"/>
      <c r="AY32" s="46"/>
      <c r="AZ32" s="48"/>
      <c r="BA32" s="49"/>
      <c r="BB32" s="49"/>
      <c r="BC32" s="50"/>
      <c r="BD32" s="51"/>
    </row>
    <row r="33" spans="1:56" s="52" customFormat="1" ht="21.75" customHeight="1" x14ac:dyDescent="0.15">
      <c r="A33" s="53">
        <v>46199</v>
      </c>
      <c r="B33" s="27"/>
      <c r="C33" s="28"/>
      <c r="D33" s="29"/>
      <c r="E33" s="30"/>
      <c r="F33" s="31"/>
      <c r="G33" s="32"/>
      <c r="H33" s="33"/>
      <c r="I33" s="34"/>
      <c r="J33" s="35"/>
      <c r="K33" s="36"/>
      <c r="L33" s="37"/>
      <c r="M33" s="38"/>
      <c r="N33" s="38"/>
      <c r="O33" s="39"/>
      <c r="P33" s="40"/>
      <c r="Q33" s="28"/>
      <c r="R33" s="29"/>
      <c r="S33" s="30"/>
      <c r="T33" s="31"/>
      <c r="U33" s="32"/>
      <c r="V33" s="33"/>
      <c r="W33" s="34"/>
      <c r="X33" s="35"/>
      <c r="Y33" s="36"/>
      <c r="Z33" s="37"/>
      <c r="AA33" s="38"/>
      <c r="AB33" s="38"/>
      <c r="AC33" s="39"/>
      <c r="AD33" s="45"/>
      <c r="AE33" s="28"/>
      <c r="AF33" s="41"/>
      <c r="AG33" s="32"/>
      <c r="AH33" s="35"/>
      <c r="AI33" s="43"/>
      <c r="AJ33" s="35"/>
      <c r="AK33" s="43"/>
      <c r="AL33" s="44"/>
      <c r="AM33" s="38"/>
      <c r="AN33" s="38"/>
      <c r="AO33" s="39"/>
      <c r="AP33" s="40"/>
      <c r="AQ33" s="28"/>
      <c r="AR33" s="41"/>
      <c r="AS33" s="30"/>
      <c r="AT33" s="30"/>
      <c r="AU33" s="42"/>
      <c r="AV33" s="33"/>
      <c r="AW33" s="46"/>
      <c r="AX33" s="33"/>
      <c r="AY33" s="46"/>
      <c r="AZ33" s="48"/>
      <c r="BA33" s="49"/>
      <c r="BB33" s="49"/>
      <c r="BC33" s="50"/>
      <c r="BD33" s="51"/>
    </row>
    <row r="34" spans="1:56" s="52" customFormat="1" ht="21.75" customHeight="1" x14ac:dyDescent="0.15">
      <c r="A34" s="26">
        <v>46200</v>
      </c>
      <c r="B34" s="27"/>
      <c r="C34" s="28"/>
      <c r="D34" s="29"/>
      <c r="E34" s="30"/>
      <c r="F34" s="31"/>
      <c r="G34" s="32"/>
      <c r="H34" s="33"/>
      <c r="I34" s="34"/>
      <c r="J34" s="35"/>
      <c r="K34" s="36"/>
      <c r="L34" s="37"/>
      <c r="M34" s="38"/>
      <c r="N34" s="38"/>
      <c r="O34" s="39"/>
      <c r="P34" s="40"/>
      <c r="Q34" s="28"/>
      <c r="R34" s="29"/>
      <c r="S34" s="30"/>
      <c r="T34" s="31"/>
      <c r="U34" s="32"/>
      <c r="V34" s="33"/>
      <c r="W34" s="34"/>
      <c r="X34" s="35"/>
      <c r="Y34" s="36"/>
      <c r="Z34" s="37"/>
      <c r="AA34" s="38"/>
      <c r="AB34" s="38"/>
      <c r="AC34" s="39"/>
      <c r="AD34" s="45"/>
      <c r="AE34" s="28"/>
      <c r="AF34" s="41"/>
      <c r="AG34" s="32"/>
      <c r="AH34" s="35"/>
      <c r="AI34" s="43"/>
      <c r="AJ34" s="35"/>
      <c r="AK34" s="43"/>
      <c r="AL34" s="44"/>
      <c r="AM34" s="38"/>
      <c r="AN34" s="38"/>
      <c r="AO34" s="39"/>
      <c r="AP34" s="40"/>
      <c r="AQ34" s="28"/>
      <c r="AR34" s="41"/>
      <c r="AS34" s="30"/>
      <c r="AT34" s="30"/>
      <c r="AU34" s="42"/>
      <c r="AV34" s="33"/>
      <c r="AW34" s="46"/>
      <c r="AX34" s="33"/>
      <c r="AY34" s="46"/>
      <c r="AZ34" s="48"/>
      <c r="BA34" s="49"/>
      <c r="BB34" s="49"/>
      <c r="BC34" s="50"/>
      <c r="BD34" s="51"/>
    </row>
    <row r="35" spans="1:56" s="52" customFormat="1" ht="21.75" customHeight="1" x14ac:dyDescent="0.15">
      <c r="A35" s="26">
        <v>46201</v>
      </c>
      <c r="B35" s="27"/>
      <c r="C35" s="28"/>
      <c r="D35" s="29"/>
      <c r="E35" s="30"/>
      <c r="F35" s="31"/>
      <c r="G35" s="32"/>
      <c r="H35" s="33"/>
      <c r="I35" s="34"/>
      <c r="J35" s="35"/>
      <c r="K35" s="36"/>
      <c r="L35" s="37"/>
      <c r="M35" s="38"/>
      <c r="N35" s="38"/>
      <c r="O35" s="39"/>
      <c r="P35" s="40"/>
      <c r="Q35" s="28"/>
      <c r="R35" s="29"/>
      <c r="S35" s="30"/>
      <c r="T35" s="31"/>
      <c r="U35" s="32"/>
      <c r="V35" s="33"/>
      <c r="W35" s="34"/>
      <c r="X35" s="35"/>
      <c r="Y35" s="36"/>
      <c r="Z35" s="37"/>
      <c r="AA35" s="38"/>
      <c r="AB35" s="38"/>
      <c r="AC35" s="39"/>
      <c r="AD35" s="45"/>
      <c r="AE35" s="28"/>
      <c r="AF35" s="41"/>
      <c r="AG35" s="32"/>
      <c r="AH35" s="35"/>
      <c r="AI35" s="43"/>
      <c r="AJ35" s="35"/>
      <c r="AK35" s="43"/>
      <c r="AL35" s="44"/>
      <c r="AM35" s="38"/>
      <c r="AN35" s="38"/>
      <c r="AO35" s="39"/>
      <c r="AP35" s="40"/>
      <c r="AQ35" s="28"/>
      <c r="AR35" s="41"/>
      <c r="AS35" s="30"/>
      <c r="AT35" s="30"/>
      <c r="AU35" s="42"/>
      <c r="AV35" s="33"/>
      <c r="AW35" s="46"/>
      <c r="AX35" s="33"/>
      <c r="AY35" s="46"/>
      <c r="AZ35" s="48"/>
      <c r="BA35" s="49"/>
      <c r="BB35" s="49"/>
      <c r="BC35" s="50"/>
      <c r="BD35" s="51"/>
    </row>
    <row r="36" spans="1:56" s="52" customFormat="1" ht="21.75" customHeight="1" x14ac:dyDescent="0.15">
      <c r="A36" s="53">
        <v>46202</v>
      </c>
      <c r="B36" s="27"/>
      <c r="C36" s="28"/>
      <c r="D36" s="29"/>
      <c r="E36" s="30"/>
      <c r="F36" s="31"/>
      <c r="G36" s="32"/>
      <c r="H36" s="33"/>
      <c r="I36" s="34"/>
      <c r="J36" s="35"/>
      <c r="K36" s="36"/>
      <c r="L36" s="37"/>
      <c r="M36" s="38"/>
      <c r="N36" s="38"/>
      <c r="O36" s="39"/>
      <c r="P36" s="40"/>
      <c r="Q36" s="28"/>
      <c r="R36" s="29"/>
      <c r="S36" s="30"/>
      <c r="T36" s="31"/>
      <c r="U36" s="32"/>
      <c r="V36" s="33"/>
      <c r="W36" s="34"/>
      <c r="X36" s="35"/>
      <c r="Y36" s="36"/>
      <c r="Z36" s="37"/>
      <c r="AA36" s="38"/>
      <c r="AB36" s="38"/>
      <c r="AC36" s="39"/>
      <c r="AD36" s="45"/>
      <c r="AE36" s="28"/>
      <c r="AF36" s="41"/>
      <c r="AG36" s="32"/>
      <c r="AH36" s="35"/>
      <c r="AI36" s="43"/>
      <c r="AJ36" s="35"/>
      <c r="AK36" s="43"/>
      <c r="AL36" s="44"/>
      <c r="AM36" s="38"/>
      <c r="AN36" s="38"/>
      <c r="AO36" s="39"/>
      <c r="AP36" s="40"/>
      <c r="AQ36" s="28"/>
      <c r="AR36" s="41"/>
      <c r="AS36" s="30"/>
      <c r="AT36" s="30"/>
      <c r="AU36" s="42"/>
      <c r="AV36" s="33"/>
      <c r="AW36" s="46"/>
      <c r="AX36" s="33"/>
      <c r="AY36" s="46"/>
      <c r="AZ36" s="48"/>
      <c r="BA36" s="49"/>
      <c r="BB36" s="49"/>
      <c r="BC36" s="50"/>
      <c r="BD36" s="51"/>
    </row>
    <row r="37" spans="1:56" s="52" customFormat="1" ht="21.75" customHeight="1" thickBot="1" x14ac:dyDescent="0.2">
      <c r="A37" s="53">
        <v>46203</v>
      </c>
      <c r="B37" s="27"/>
      <c r="C37" s="28"/>
      <c r="D37" s="29"/>
      <c r="E37" s="30"/>
      <c r="F37" s="31"/>
      <c r="G37" s="32"/>
      <c r="H37" s="33"/>
      <c r="I37" s="34"/>
      <c r="J37" s="35"/>
      <c r="K37" s="36"/>
      <c r="L37" s="37"/>
      <c r="M37" s="38"/>
      <c r="N37" s="38"/>
      <c r="O37" s="39"/>
      <c r="P37" s="40"/>
      <c r="Q37" s="28"/>
      <c r="R37" s="29"/>
      <c r="S37" s="30"/>
      <c r="T37" s="31"/>
      <c r="U37" s="32"/>
      <c r="V37" s="33"/>
      <c r="W37" s="34"/>
      <c r="X37" s="35"/>
      <c r="Y37" s="36"/>
      <c r="Z37" s="37"/>
      <c r="AA37" s="38"/>
      <c r="AB37" s="38"/>
      <c r="AC37" s="39"/>
      <c r="AD37" s="45"/>
      <c r="AE37" s="28"/>
      <c r="AF37" s="41"/>
      <c r="AG37" s="32"/>
      <c r="AH37" s="35"/>
      <c r="AI37" s="43"/>
      <c r="AJ37" s="35"/>
      <c r="AK37" s="43"/>
      <c r="AL37" s="44"/>
      <c r="AM37" s="38"/>
      <c r="AN37" s="38"/>
      <c r="AO37" s="39"/>
      <c r="AP37" s="40"/>
      <c r="AQ37" s="28"/>
      <c r="AR37" s="41"/>
      <c r="AS37" s="30"/>
      <c r="AT37" s="30"/>
      <c r="AU37" s="42"/>
      <c r="AV37" s="33"/>
      <c r="AW37" s="46"/>
      <c r="AX37" s="33"/>
      <c r="AY37" s="47"/>
      <c r="AZ37" s="48"/>
      <c r="BA37" s="49"/>
      <c r="BB37" s="49"/>
      <c r="BC37" s="50"/>
      <c r="BD37" s="51"/>
    </row>
    <row r="38" spans="1:56" s="10" customFormat="1" ht="21.75" customHeight="1" thickTop="1" thickBot="1" x14ac:dyDescent="0.2">
      <c r="A38" s="54" t="s">
        <v>26</v>
      </c>
      <c r="B38" s="55">
        <f>SUM(B8:B37)</f>
        <v>631084</v>
      </c>
      <c r="C38" s="56">
        <f>SUM(C8:C37)</f>
        <v>725000</v>
      </c>
      <c r="D38" s="57">
        <f>B38/C38</f>
        <v>0.87046068965517243</v>
      </c>
      <c r="E38" s="58">
        <f>SUM(E8:E37)</f>
        <v>845323</v>
      </c>
      <c r="F38" s="59">
        <f>SUM(F8:F37)</f>
        <v>1372137</v>
      </c>
      <c r="G38" s="60">
        <f>B38+E38+F38</f>
        <v>2848544</v>
      </c>
      <c r="H38" s="61">
        <f t="shared" ref="H38:N38" si="63">SUM(H8:H37)</f>
        <v>0</v>
      </c>
      <c r="I38" s="62">
        <f t="shared" si="63"/>
        <v>0</v>
      </c>
      <c r="J38" s="61">
        <f t="shared" si="63"/>
        <v>78331</v>
      </c>
      <c r="K38" s="62">
        <f t="shared" si="63"/>
        <v>181209</v>
      </c>
      <c r="L38" s="63">
        <f t="shared" si="63"/>
        <v>419580</v>
      </c>
      <c r="M38" s="63">
        <f t="shared" si="63"/>
        <v>78816</v>
      </c>
      <c r="N38" s="63">
        <f t="shared" si="63"/>
        <v>132688</v>
      </c>
      <c r="O38" s="64">
        <f>SUM(L38:N38)</f>
        <v>631084</v>
      </c>
      <c r="P38" s="65">
        <f>SUM(P8:P37)</f>
        <v>303354</v>
      </c>
      <c r="Q38" s="56">
        <f>SUM(Q8:Q37)</f>
        <v>350000</v>
      </c>
      <c r="R38" s="57">
        <f>P38/Q38</f>
        <v>0.86672571428571432</v>
      </c>
      <c r="S38" s="58">
        <f>SUM(S8:S37)</f>
        <v>63098</v>
      </c>
      <c r="T38" s="59">
        <f>SUM(T8:T37)</f>
        <v>86400</v>
      </c>
      <c r="U38" s="60">
        <f>P38+S38+T38</f>
        <v>452852</v>
      </c>
      <c r="V38" s="61">
        <f t="shared" ref="V38:AB38" si="64">SUM(V8:V37)</f>
        <v>0</v>
      </c>
      <c r="W38" s="62">
        <f t="shared" si="64"/>
        <v>0</v>
      </c>
      <c r="X38" s="61">
        <f t="shared" si="64"/>
        <v>0</v>
      </c>
      <c r="Y38" s="62">
        <f t="shared" si="64"/>
        <v>0</v>
      </c>
      <c r="Z38" s="63">
        <f t="shared" si="64"/>
        <v>200777</v>
      </c>
      <c r="AA38" s="63">
        <f t="shared" si="64"/>
        <v>83913</v>
      </c>
      <c r="AB38" s="63">
        <f t="shared" si="64"/>
        <v>18664</v>
      </c>
      <c r="AC38" s="64">
        <f>SUM(Z38:AB38)</f>
        <v>303354</v>
      </c>
      <c r="AD38" s="69">
        <f>SUM(AD8:AD37)</f>
        <v>794159</v>
      </c>
      <c r="AE38" s="56">
        <f>SUM(AE8:AE37)</f>
        <v>1000000</v>
      </c>
      <c r="AF38" s="57">
        <f>AD38/AE38</f>
        <v>0.79415899999999995</v>
      </c>
      <c r="AG38" s="60">
        <f t="shared" ref="AG38:AQ38" si="65">SUM(AG8:AG37)</f>
        <v>794159</v>
      </c>
      <c r="AH38" s="61">
        <f t="shared" si="65"/>
        <v>0</v>
      </c>
      <c r="AI38" s="62">
        <f t="shared" si="65"/>
        <v>0</v>
      </c>
      <c r="AJ38" s="61">
        <f t="shared" si="65"/>
        <v>89988</v>
      </c>
      <c r="AK38" s="62">
        <f t="shared" si="65"/>
        <v>0</v>
      </c>
      <c r="AL38" s="63">
        <f t="shared" si="65"/>
        <v>687117</v>
      </c>
      <c r="AM38" s="63">
        <f t="shared" si="65"/>
        <v>107042</v>
      </c>
      <c r="AN38" s="63">
        <f t="shared" si="65"/>
        <v>0</v>
      </c>
      <c r="AO38" s="70">
        <f t="shared" si="65"/>
        <v>794159</v>
      </c>
      <c r="AP38" s="71">
        <f>SUM(AP8:AP37)</f>
        <v>1728597</v>
      </c>
      <c r="AQ38" s="56">
        <f t="shared" si="65"/>
        <v>2075000</v>
      </c>
      <c r="AR38" s="57">
        <f>AP38/AQ38</f>
        <v>0.8330587951807229</v>
      </c>
      <c r="AS38" s="58">
        <f t="shared" ref="AS38:BB38" si="66">SUM(AS8:AS37)</f>
        <v>908421</v>
      </c>
      <c r="AT38" s="58">
        <f t="shared" si="66"/>
        <v>1458537</v>
      </c>
      <c r="AU38" s="72">
        <f t="shared" si="66"/>
        <v>4095555</v>
      </c>
      <c r="AV38" s="61">
        <f t="shared" si="66"/>
        <v>0</v>
      </c>
      <c r="AW38" s="73">
        <f t="shared" si="66"/>
        <v>0</v>
      </c>
      <c r="AX38" s="61">
        <f t="shared" si="66"/>
        <v>168319</v>
      </c>
      <c r="AY38" s="73">
        <f t="shared" si="66"/>
        <v>181209</v>
      </c>
      <c r="AZ38" s="74">
        <f t="shared" si="66"/>
        <v>1307474</v>
      </c>
      <c r="BA38" s="75">
        <f>SUM(BA8:BA37)</f>
        <v>269771</v>
      </c>
      <c r="BB38" s="75">
        <f t="shared" si="66"/>
        <v>151352</v>
      </c>
      <c r="BC38" s="64">
        <f>SUM(AZ38:BB38)</f>
        <v>1728597</v>
      </c>
      <c r="BD38" s="76">
        <f>SUM(BD8:BD37)</f>
        <v>0</v>
      </c>
    </row>
    <row r="39" spans="1:56" x14ac:dyDescent="0.15">
      <c r="B39" s="78"/>
      <c r="C39" s="78"/>
      <c r="D39" s="78"/>
      <c r="E39" s="78"/>
      <c r="P39" s="78"/>
      <c r="R39" s="78"/>
      <c r="S39" s="78"/>
    </row>
    <row r="40" spans="1:56" ht="20.25" x14ac:dyDescent="0.2">
      <c r="D40" s="77" ph="1"/>
      <c r="R40" s="77" ph="1"/>
    </row>
    <row r="41" spans="1:56" ht="20.25" x14ac:dyDescent="0.2">
      <c r="D41" s="77" ph="1"/>
      <c r="R41" s="77" ph="1"/>
      <c r="BA41" s="100"/>
      <c r="BB41" s="100"/>
    </row>
    <row r="42" spans="1:56" ht="20.25" x14ac:dyDescent="0.2">
      <c r="D42" s="77" ph="1"/>
      <c r="R42" s="77" ph="1"/>
    </row>
    <row r="43" spans="1:56" ht="20.25" x14ac:dyDescent="0.2">
      <c r="D43" s="77" ph="1"/>
      <c r="R43" s="77" ph="1"/>
    </row>
    <row r="44" spans="1:56" ht="20.25" x14ac:dyDescent="0.2">
      <c r="D44" s="77" ph="1"/>
      <c r="R44" s="77" ph="1"/>
    </row>
    <row r="45" spans="1:56" ht="20.25" x14ac:dyDescent="0.2">
      <c r="D45" s="77" ph="1"/>
      <c r="R45" s="77" ph="1"/>
    </row>
    <row r="11053" spans="46:46" x14ac:dyDescent="0.15">
      <c r="AT11053" s="83" t="s">
        <v>129</v>
      </c>
    </row>
    <row r="11575" spans="41:41" x14ac:dyDescent="0.15">
      <c r="AO11575" s="80" t="s">
        <v>129</v>
      </c>
    </row>
  </sheetData>
  <customSheetViews>
    <customSheetView guid="{A4746F86-270C-49F3-80CC-40F07775E69C}" scale="70" printArea="1" hiddenColumns="1" view="pageBreakPreview" showRuler="0">
      <pane xSplit="1" ySplit="7" topLeftCell="B11" activePane="bottomRight" state="frozen"/>
      <selection pane="bottomRight" activeCell="R4" sqref="R4:AP4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0">
    <mergeCell ref="A1:D4"/>
    <mergeCell ref="E1:Q2"/>
    <mergeCell ref="R1:AP2"/>
    <mergeCell ref="AQ1:AQ4"/>
    <mergeCell ref="AR1:AS1"/>
    <mergeCell ref="E3:Q3"/>
    <mergeCell ref="R3:AP3"/>
    <mergeCell ref="E4:Q4"/>
    <mergeCell ref="R4:AP4"/>
    <mergeCell ref="AT1:AW1"/>
    <mergeCell ref="AG6:AG7"/>
    <mergeCell ref="AX1:AY1"/>
    <mergeCell ref="AR2:AS4"/>
    <mergeCell ref="AT2:AW4"/>
    <mergeCell ref="AX2:AY4"/>
    <mergeCell ref="AP6:AR6"/>
    <mergeCell ref="AS6:AS7"/>
    <mergeCell ref="AT6:AT7"/>
    <mergeCell ref="AH5:AO5"/>
    <mergeCell ref="AP5:AY5"/>
    <mergeCell ref="J6:K6"/>
    <mergeCell ref="A5:A7"/>
    <mergeCell ref="B5:G5"/>
    <mergeCell ref="H5:O5"/>
    <mergeCell ref="P5:U5"/>
    <mergeCell ref="B6:D6"/>
    <mergeCell ref="E6:E7"/>
    <mergeCell ref="F6:F7"/>
    <mergeCell ref="G6:G7"/>
    <mergeCell ref="H6:I6"/>
    <mergeCell ref="L6:O6"/>
    <mergeCell ref="P6:R6"/>
    <mergeCell ref="S6:S7"/>
    <mergeCell ref="T6:T7"/>
    <mergeCell ref="AZ5:BC5"/>
    <mergeCell ref="BD5:BD7"/>
    <mergeCell ref="U6:U7"/>
    <mergeCell ref="V6:W6"/>
    <mergeCell ref="X6:Y6"/>
    <mergeCell ref="Z6:AC6"/>
    <mergeCell ref="AD6:AF6"/>
    <mergeCell ref="AU6:AU7"/>
    <mergeCell ref="AV6:AW6"/>
    <mergeCell ref="AX6:AY6"/>
    <mergeCell ref="AZ6:BC6"/>
    <mergeCell ref="AH6:AI6"/>
    <mergeCell ref="AJ6:AK6"/>
    <mergeCell ref="AL6:AO6"/>
    <mergeCell ref="V5:AC5"/>
    <mergeCell ref="AD5:AG5"/>
  </mergeCells>
  <phoneticPr fontId="3" type="noConversion"/>
  <pageMargins left="0.23" right="0" top="0.75" bottom="0" header="0.39370078740157483" footer="0.2"/>
  <pageSetup paperSize="9" scale="53" orientation="landscape" r:id="rId2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autoPageBreaks="0"/>
  </sheetPr>
  <dimension ref="A1:CB46"/>
  <sheetViews>
    <sheetView showRuler="0" view="pageBreakPreview" zoomScale="70" zoomScaleNormal="80" zoomScaleSheetLayoutView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I12" sqref="BI12"/>
    </sheetView>
  </sheetViews>
  <sheetFormatPr defaultRowHeight="15" x14ac:dyDescent="0.15"/>
  <cols>
    <col min="1" max="1" width="7" style="77" customWidth="1"/>
    <col min="2" max="2" width="11.33203125" style="77" customWidth="1"/>
    <col min="3" max="3" width="10.33203125" style="77" hidden="1" customWidth="1"/>
    <col min="4" max="4" width="7.77734375" style="77" customWidth="1"/>
    <col min="5" max="5" width="10.77734375" style="77" customWidth="1"/>
    <col min="6" max="6" width="9.88671875" style="77" hidden="1" customWidth="1"/>
    <col min="7" max="7" width="10.77734375" style="77" customWidth="1"/>
    <col min="8" max="8" width="10.33203125" style="79" hidden="1" customWidth="1"/>
    <col min="9" max="9" width="10" style="79" hidden="1" customWidth="1"/>
    <col min="10" max="10" width="10.33203125" style="79" hidden="1" customWidth="1"/>
    <col min="11" max="11" width="10" style="79" hidden="1" customWidth="1"/>
    <col min="12" max="15" width="10.33203125" style="80" hidden="1" customWidth="1"/>
    <col min="16" max="16" width="11.33203125" style="77" customWidth="1"/>
    <col min="17" max="17" width="10.33203125" style="81" hidden="1" customWidth="1"/>
    <col min="18" max="18" width="7.77734375" style="77" customWidth="1"/>
    <col min="19" max="19" width="10.77734375" style="77" customWidth="1"/>
    <col min="20" max="20" width="9.88671875" style="82" hidden="1" customWidth="1"/>
    <col min="21" max="21" width="10.77734375" style="77" customWidth="1"/>
    <col min="22" max="22" width="10.33203125" style="79" hidden="1" customWidth="1"/>
    <col min="23" max="23" width="10" style="79" hidden="1" customWidth="1"/>
    <col min="24" max="24" width="10.33203125" style="79" hidden="1" customWidth="1"/>
    <col min="25" max="25" width="10" style="79" hidden="1" customWidth="1"/>
    <col min="26" max="29" width="10.33203125" style="80" hidden="1" customWidth="1"/>
    <col min="30" max="30" width="10.33203125" style="77" customWidth="1"/>
    <col min="31" max="31" width="10.33203125" style="81" hidden="1" customWidth="1"/>
    <col min="32" max="32" width="10.33203125" style="77" hidden="1" customWidth="1"/>
    <col min="33" max="33" width="10.77734375" style="77" customWidth="1"/>
    <col min="34" max="34" width="10.33203125" style="77" hidden="1" customWidth="1"/>
    <col min="35" max="35" width="10.33203125" style="77" customWidth="1"/>
    <col min="36" max="36" width="10.77734375" style="77" customWidth="1"/>
    <col min="37" max="37" width="10.33203125" style="79" hidden="1" customWidth="1"/>
    <col min="38" max="38" width="10" style="79" hidden="1" customWidth="1"/>
    <col min="39" max="39" width="10.33203125" style="79" hidden="1" customWidth="1"/>
    <col min="40" max="40" width="10" style="79" hidden="1" customWidth="1"/>
    <col min="41" max="44" width="10.33203125" style="80" hidden="1" customWidth="1"/>
    <col min="45" max="45" width="11.77734375" style="77" customWidth="1"/>
    <col min="46" max="46" width="11.44140625" style="81" hidden="1" customWidth="1"/>
    <col min="47" max="47" width="7.77734375" style="77" customWidth="1"/>
    <col min="48" max="48" width="11.77734375" style="77" customWidth="1"/>
    <col min="49" max="49" width="10.33203125" style="79" hidden="1" customWidth="1"/>
    <col min="50" max="50" width="10" style="79" hidden="1" customWidth="1"/>
    <col min="51" max="51" width="10.33203125" style="79" hidden="1" customWidth="1"/>
    <col min="52" max="52" width="10" style="79" hidden="1" customWidth="1"/>
    <col min="53" max="56" width="10.33203125" style="80" hidden="1" customWidth="1"/>
    <col min="57" max="57" width="11.77734375" style="77" customWidth="1"/>
    <col min="58" max="58" width="10.88671875" style="81" hidden="1" customWidth="1"/>
    <col min="59" max="59" width="7.77734375" style="77" customWidth="1"/>
    <col min="60" max="60" width="11.77734375" style="77" customWidth="1"/>
    <col min="61" max="61" width="11.77734375" style="83" customWidth="1"/>
    <col min="62" max="62" width="11.77734375" style="77" customWidth="1"/>
    <col min="63" max="63" width="10.33203125" style="79" hidden="1" customWidth="1"/>
    <col min="64" max="64" width="10" style="79" hidden="1" customWidth="1"/>
    <col min="65" max="65" width="10.33203125" style="79" customWidth="1"/>
    <col min="66" max="66" width="10" style="79" customWidth="1"/>
    <col min="67" max="67" width="11.77734375" style="84" hidden="1" customWidth="1"/>
    <col min="68" max="69" width="10.33203125" style="84" hidden="1" customWidth="1"/>
    <col min="70" max="70" width="11.21875" style="84" hidden="1" customWidth="1"/>
    <col min="71" max="71" width="11.5546875" style="85" hidden="1" customWidth="1"/>
    <col min="72" max="72" width="11.109375" style="86" customWidth="1"/>
    <col min="73" max="73" width="9.77734375" style="85" customWidth="1"/>
    <col min="74" max="74" width="8.88671875" style="85" customWidth="1"/>
    <col min="75" max="75" width="8.88671875" style="85"/>
    <col min="76" max="76" width="11.109375" style="85" bestFit="1" customWidth="1"/>
    <col min="77" max="77" width="10.6640625" style="85" bestFit="1" customWidth="1"/>
    <col min="78" max="79" width="8.88671875" style="85"/>
    <col min="80" max="80" width="11.21875" style="85" bestFit="1" customWidth="1"/>
    <col min="81" max="16384" width="8.88671875" style="85"/>
  </cols>
  <sheetData>
    <row r="1" spans="1:80" s="5" customFormat="1" ht="28.5" customHeight="1" x14ac:dyDescent="0.15">
      <c r="A1" s="101"/>
      <c r="B1" s="102"/>
      <c r="C1" s="102"/>
      <c r="D1" s="102"/>
      <c r="E1" s="185" t="s">
        <v>27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"/>
      <c r="R1" s="107" t="s">
        <v>81</v>
      </c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9"/>
      <c r="AU1" s="193" t="s">
        <v>29</v>
      </c>
      <c r="AV1" s="113" t="s">
        <v>30</v>
      </c>
      <c r="AW1" s="113"/>
      <c r="AX1" s="113"/>
      <c r="AY1" s="113"/>
      <c r="AZ1" s="113"/>
      <c r="BA1" s="113"/>
      <c r="BB1" s="113"/>
      <c r="BC1" s="113"/>
      <c r="BD1" s="113"/>
      <c r="BE1" s="113"/>
      <c r="BF1" s="2"/>
      <c r="BG1" s="113" t="s">
        <v>31</v>
      </c>
      <c r="BH1" s="113"/>
      <c r="BI1" s="113" t="s">
        <v>32</v>
      </c>
      <c r="BJ1" s="113"/>
      <c r="BK1" s="113"/>
      <c r="BL1" s="113"/>
      <c r="BM1" s="113" t="s">
        <v>33</v>
      </c>
      <c r="BN1" s="132"/>
      <c r="BO1" s="3"/>
      <c r="BP1" s="4"/>
      <c r="BQ1" s="4"/>
      <c r="BR1" s="4"/>
      <c r="BT1" s="86"/>
    </row>
    <row r="2" spans="1:80" s="5" customFormat="1" ht="15" customHeight="1" x14ac:dyDescent="0.15">
      <c r="A2" s="103"/>
      <c r="B2" s="104"/>
      <c r="C2" s="104"/>
      <c r="D2" s="104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6"/>
      <c r="R2" s="190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2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7"/>
      <c r="BG2" s="133"/>
      <c r="BH2" s="134"/>
      <c r="BI2" s="134"/>
      <c r="BJ2" s="134"/>
      <c r="BK2" s="134"/>
      <c r="BL2" s="134"/>
      <c r="BM2" s="134"/>
      <c r="BN2" s="136"/>
      <c r="BO2" s="3"/>
      <c r="BP2" s="4"/>
      <c r="BQ2" s="4"/>
      <c r="BR2" s="4"/>
      <c r="BT2" s="86"/>
    </row>
    <row r="3" spans="1:80" s="5" customFormat="1" ht="39.950000000000003" customHeight="1" x14ac:dyDescent="0.15">
      <c r="A3" s="103"/>
      <c r="B3" s="104"/>
      <c r="C3" s="104"/>
      <c r="D3" s="104"/>
      <c r="E3" s="194" t="s">
        <v>34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6"/>
      <c r="R3" s="195" t="s">
        <v>82</v>
      </c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7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7"/>
      <c r="BG3" s="134"/>
      <c r="BH3" s="134"/>
      <c r="BI3" s="134"/>
      <c r="BJ3" s="134"/>
      <c r="BK3" s="134"/>
      <c r="BL3" s="134"/>
      <c r="BM3" s="134"/>
      <c r="BN3" s="136"/>
      <c r="BO3" s="3"/>
      <c r="BP3" s="4"/>
      <c r="BQ3" s="4"/>
      <c r="BR3" s="4"/>
      <c r="BT3" s="86"/>
    </row>
    <row r="4" spans="1:80" s="5" customFormat="1" ht="39.950000000000003" customHeight="1" thickBot="1" x14ac:dyDescent="0.2">
      <c r="A4" s="105"/>
      <c r="B4" s="106"/>
      <c r="C4" s="106"/>
      <c r="D4" s="106"/>
      <c r="E4" s="198" t="s">
        <v>36</v>
      </c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8"/>
      <c r="R4" s="200" t="s">
        <v>37</v>
      </c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2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9"/>
      <c r="BG4" s="135"/>
      <c r="BH4" s="135"/>
      <c r="BI4" s="135"/>
      <c r="BJ4" s="135"/>
      <c r="BK4" s="135"/>
      <c r="BL4" s="135"/>
      <c r="BM4" s="135"/>
      <c r="BN4" s="137"/>
      <c r="BO4" s="3"/>
      <c r="BP4" s="4"/>
      <c r="BQ4" s="4"/>
      <c r="BR4" s="4"/>
      <c r="BT4" s="86"/>
    </row>
    <row r="5" spans="1:80" s="10" customFormat="1" ht="21.75" customHeight="1" thickBot="1" x14ac:dyDescent="0.2">
      <c r="A5" s="144" t="s">
        <v>38</v>
      </c>
      <c r="B5" s="147" t="s">
        <v>83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84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85</v>
      </c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9"/>
      <c r="AS5" s="147" t="s">
        <v>86</v>
      </c>
      <c r="AT5" s="148"/>
      <c r="AU5" s="148"/>
      <c r="AV5" s="149"/>
      <c r="AW5" s="166"/>
      <c r="AX5" s="166"/>
      <c r="AY5" s="166"/>
      <c r="AZ5" s="166"/>
      <c r="BA5" s="166"/>
      <c r="BB5" s="166"/>
      <c r="BC5" s="166"/>
      <c r="BD5" s="167"/>
      <c r="BE5" s="168" t="s">
        <v>87</v>
      </c>
      <c r="BF5" s="169"/>
      <c r="BG5" s="169"/>
      <c r="BH5" s="169"/>
      <c r="BI5" s="169"/>
      <c r="BJ5" s="169"/>
      <c r="BK5" s="169"/>
      <c r="BL5" s="169"/>
      <c r="BM5" s="169"/>
      <c r="BN5" s="170"/>
      <c r="BO5" s="171" t="s">
        <v>44</v>
      </c>
      <c r="BP5" s="172"/>
      <c r="BQ5" s="172"/>
      <c r="BR5" s="173"/>
      <c r="BS5" s="205" t="s">
        <v>45</v>
      </c>
      <c r="BT5" s="87"/>
    </row>
    <row r="6" spans="1:80" s="11" customFormat="1" ht="21.75" customHeight="1" x14ac:dyDescent="0.15">
      <c r="A6" s="145"/>
      <c r="B6" s="150" t="s">
        <v>46</v>
      </c>
      <c r="C6" s="151"/>
      <c r="D6" s="151"/>
      <c r="E6" s="151" t="s">
        <v>47</v>
      </c>
      <c r="F6" s="153" t="s">
        <v>48</v>
      </c>
      <c r="G6" s="151" t="s">
        <v>49</v>
      </c>
      <c r="H6" s="159" t="s">
        <v>50</v>
      </c>
      <c r="I6" s="159"/>
      <c r="J6" s="159" t="s">
        <v>51</v>
      </c>
      <c r="K6" s="159"/>
      <c r="L6" s="160" t="s">
        <v>52</v>
      </c>
      <c r="M6" s="160"/>
      <c r="N6" s="160"/>
      <c r="O6" s="161"/>
      <c r="P6" s="150" t="s">
        <v>53</v>
      </c>
      <c r="Q6" s="151"/>
      <c r="R6" s="151"/>
      <c r="S6" s="151" t="s">
        <v>47</v>
      </c>
      <c r="T6" s="153" t="s">
        <v>48</v>
      </c>
      <c r="U6" s="151" t="s">
        <v>49</v>
      </c>
      <c r="V6" s="159" t="s">
        <v>50</v>
      </c>
      <c r="W6" s="159"/>
      <c r="X6" s="159" t="s">
        <v>51</v>
      </c>
      <c r="Y6" s="159"/>
      <c r="Z6" s="160" t="s">
        <v>52</v>
      </c>
      <c r="AA6" s="160"/>
      <c r="AB6" s="160"/>
      <c r="AC6" s="161"/>
      <c r="AD6" s="150" t="s">
        <v>54</v>
      </c>
      <c r="AE6" s="151"/>
      <c r="AF6" s="151"/>
      <c r="AG6" s="162" t="s">
        <v>88</v>
      </c>
      <c r="AH6" s="203"/>
      <c r="AI6" s="204"/>
      <c r="AJ6" s="151" t="s">
        <v>49</v>
      </c>
      <c r="AK6" s="159" t="s">
        <v>50</v>
      </c>
      <c r="AL6" s="159"/>
      <c r="AM6" s="159" t="s">
        <v>51</v>
      </c>
      <c r="AN6" s="159"/>
      <c r="AO6" s="160" t="s">
        <v>52</v>
      </c>
      <c r="AP6" s="160"/>
      <c r="AQ6" s="160"/>
      <c r="AR6" s="161"/>
      <c r="AS6" s="150" t="s">
        <v>89</v>
      </c>
      <c r="AT6" s="151"/>
      <c r="AU6" s="151"/>
      <c r="AV6" s="177" t="s">
        <v>49</v>
      </c>
      <c r="AW6" s="158" t="s">
        <v>50</v>
      </c>
      <c r="AX6" s="159"/>
      <c r="AY6" s="159" t="s">
        <v>51</v>
      </c>
      <c r="AZ6" s="159"/>
      <c r="BA6" s="160" t="s">
        <v>52</v>
      </c>
      <c r="BB6" s="160"/>
      <c r="BC6" s="160"/>
      <c r="BD6" s="161"/>
      <c r="BE6" s="150" t="s">
        <v>90</v>
      </c>
      <c r="BF6" s="151"/>
      <c r="BG6" s="151"/>
      <c r="BH6" s="151" t="s">
        <v>47</v>
      </c>
      <c r="BI6" s="151" t="s">
        <v>48</v>
      </c>
      <c r="BJ6" s="162" t="s">
        <v>49</v>
      </c>
      <c r="BK6" s="164" t="s">
        <v>50</v>
      </c>
      <c r="BL6" s="165"/>
      <c r="BM6" s="164" t="s">
        <v>51</v>
      </c>
      <c r="BN6" s="165"/>
      <c r="BO6" s="174" t="s">
        <v>52</v>
      </c>
      <c r="BP6" s="175"/>
      <c r="BQ6" s="175"/>
      <c r="BR6" s="176"/>
      <c r="BS6" s="156"/>
      <c r="BT6" s="88" t="s">
        <v>58</v>
      </c>
    </row>
    <row r="7" spans="1:80" s="25" customFormat="1" ht="21" customHeight="1" thickBot="1" x14ac:dyDescent="0.2">
      <c r="A7" s="146"/>
      <c r="B7" s="12" t="s">
        <v>59</v>
      </c>
      <c r="C7" s="13" t="s">
        <v>60</v>
      </c>
      <c r="D7" s="14" t="s">
        <v>61</v>
      </c>
      <c r="E7" s="152"/>
      <c r="F7" s="154"/>
      <c r="G7" s="152"/>
      <c r="H7" s="15" t="s">
        <v>62</v>
      </c>
      <c r="I7" s="15" t="s">
        <v>63</v>
      </c>
      <c r="J7" s="15" t="s">
        <v>62</v>
      </c>
      <c r="K7" s="15" t="s">
        <v>63</v>
      </c>
      <c r="L7" s="16" t="s">
        <v>64</v>
      </c>
      <c r="M7" s="16" t="s">
        <v>65</v>
      </c>
      <c r="N7" s="16" t="s">
        <v>66</v>
      </c>
      <c r="O7" s="17" t="s">
        <v>49</v>
      </c>
      <c r="P7" s="12" t="s">
        <v>59</v>
      </c>
      <c r="Q7" s="13" t="s">
        <v>60</v>
      </c>
      <c r="R7" s="14" t="s">
        <v>61</v>
      </c>
      <c r="S7" s="152"/>
      <c r="T7" s="154"/>
      <c r="U7" s="152"/>
      <c r="V7" s="15" t="s">
        <v>62</v>
      </c>
      <c r="W7" s="15" t="s">
        <v>63</v>
      </c>
      <c r="X7" s="15" t="s">
        <v>62</v>
      </c>
      <c r="Y7" s="15" t="s">
        <v>63</v>
      </c>
      <c r="Z7" s="16" t="s">
        <v>64</v>
      </c>
      <c r="AA7" s="16" t="s">
        <v>65</v>
      </c>
      <c r="AB7" s="16" t="s">
        <v>66</v>
      </c>
      <c r="AC7" s="17" t="s">
        <v>49</v>
      </c>
      <c r="AD7" s="12" t="s">
        <v>59</v>
      </c>
      <c r="AE7" s="13" t="s">
        <v>60</v>
      </c>
      <c r="AF7" s="14" t="s">
        <v>61</v>
      </c>
      <c r="AG7" s="18" t="s">
        <v>47</v>
      </c>
      <c r="AH7" s="18" t="s">
        <v>60</v>
      </c>
      <c r="AI7" s="18" t="s">
        <v>61</v>
      </c>
      <c r="AJ7" s="152"/>
      <c r="AK7" s="15" t="s">
        <v>62</v>
      </c>
      <c r="AL7" s="15" t="s">
        <v>63</v>
      </c>
      <c r="AM7" s="15" t="s">
        <v>62</v>
      </c>
      <c r="AN7" s="15" t="s">
        <v>63</v>
      </c>
      <c r="AO7" s="16" t="s">
        <v>64</v>
      </c>
      <c r="AP7" s="16" t="s">
        <v>65</v>
      </c>
      <c r="AQ7" s="16" t="s">
        <v>66</v>
      </c>
      <c r="AR7" s="17" t="s">
        <v>49</v>
      </c>
      <c r="AS7" s="12" t="s">
        <v>59</v>
      </c>
      <c r="AT7" s="13" t="s">
        <v>60</v>
      </c>
      <c r="AU7" s="14" t="s">
        <v>61</v>
      </c>
      <c r="AV7" s="178"/>
      <c r="AW7" s="19" t="s">
        <v>62</v>
      </c>
      <c r="AX7" s="15" t="s">
        <v>63</v>
      </c>
      <c r="AY7" s="15" t="s">
        <v>62</v>
      </c>
      <c r="AZ7" s="15" t="s">
        <v>63</v>
      </c>
      <c r="BA7" s="16" t="s">
        <v>64</v>
      </c>
      <c r="BB7" s="16" t="s">
        <v>65</v>
      </c>
      <c r="BC7" s="16" t="s">
        <v>66</v>
      </c>
      <c r="BD7" s="17" t="s">
        <v>49</v>
      </c>
      <c r="BE7" s="12" t="s">
        <v>59</v>
      </c>
      <c r="BF7" s="13" t="s">
        <v>60</v>
      </c>
      <c r="BG7" s="14" t="s">
        <v>61</v>
      </c>
      <c r="BH7" s="152"/>
      <c r="BI7" s="152"/>
      <c r="BJ7" s="163"/>
      <c r="BK7" s="20" t="s">
        <v>62</v>
      </c>
      <c r="BL7" s="21" t="s">
        <v>63</v>
      </c>
      <c r="BM7" s="20" t="s">
        <v>62</v>
      </c>
      <c r="BN7" s="21" t="s">
        <v>63</v>
      </c>
      <c r="BO7" s="22" t="s">
        <v>64</v>
      </c>
      <c r="BP7" s="23" t="s">
        <v>65</v>
      </c>
      <c r="BQ7" s="23" t="s">
        <v>66</v>
      </c>
      <c r="BR7" s="24" t="s">
        <v>49</v>
      </c>
      <c r="BS7" s="157"/>
      <c r="BT7" s="89" t="s">
        <v>67</v>
      </c>
    </row>
    <row r="8" spans="1:80" s="52" customFormat="1" ht="35.1" customHeight="1" x14ac:dyDescent="0.15">
      <c r="A8" s="53" t="s">
        <v>91</v>
      </c>
      <c r="B8" s="27">
        <v>2567480</v>
      </c>
      <c r="C8" s="28">
        <v>4180000</v>
      </c>
      <c r="D8" s="29">
        <v>0.61422966507177035</v>
      </c>
      <c r="E8" s="30">
        <v>1951832</v>
      </c>
      <c r="F8" s="31">
        <v>3031305</v>
      </c>
      <c r="G8" s="32">
        <v>7550617</v>
      </c>
      <c r="H8" s="33">
        <v>0</v>
      </c>
      <c r="I8" s="34">
        <v>0</v>
      </c>
      <c r="J8" s="35">
        <v>320191</v>
      </c>
      <c r="K8" s="36">
        <v>268185</v>
      </c>
      <c r="L8" s="37">
        <v>2264754</v>
      </c>
      <c r="M8" s="38">
        <v>302726</v>
      </c>
      <c r="N8" s="38">
        <v>0</v>
      </c>
      <c r="O8" s="39">
        <v>2567480</v>
      </c>
      <c r="P8" s="40">
        <v>1754090</v>
      </c>
      <c r="Q8" s="28">
        <v>2200000</v>
      </c>
      <c r="R8" s="29">
        <v>0.79731363636363639</v>
      </c>
      <c r="S8" s="30">
        <v>351584</v>
      </c>
      <c r="T8" s="31">
        <v>497600</v>
      </c>
      <c r="U8" s="32">
        <v>2603274</v>
      </c>
      <c r="V8" s="33">
        <v>0</v>
      </c>
      <c r="W8" s="34">
        <v>0</v>
      </c>
      <c r="X8" s="35">
        <v>51795</v>
      </c>
      <c r="Y8" s="36">
        <v>28308</v>
      </c>
      <c r="Z8" s="37">
        <v>994118</v>
      </c>
      <c r="AA8" s="38">
        <v>696914</v>
      </c>
      <c r="AB8" s="38">
        <v>63058</v>
      </c>
      <c r="AC8" s="39">
        <v>1754090</v>
      </c>
      <c r="AD8" s="40">
        <v>7489</v>
      </c>
      <c r="AE8" s="28">
        <v>0</v>
      </c>
      <c r="AF8" s="41" t="e">
        <v>#DIV/0!</v>
      </c>
      <c r="AG8" s="30">
        <v>439892</v>
      </c>
      <c r="AH8" s="28">
        <v>2090000</v>
      </c>
      <c r="AI8" s="41">
        <v>0.21047464114832537</v>
      </c>
      <c r="AJ8" s="42">
        <v>447381</v>
      </c>
      <c r="AK8" s="35">
        <v>0</v>
      </c>
      <c r="AL8" s="43">
        <v>0</v>
      </c>
      <c r="AM8" s="35">
        <v>0</v>
      </c>
      <c r="AN8" s="43">
        <v>0</v>
      </c>
      <c r="AO8" s="44">
        <v>2458</v>
      </c>
      <c r="AP8" s="38">
        <v>5031</v>
      </c>
      <c r="AQ8" s="38">
        <v>0</v>
      </c>
      <c r="AR8" s="39">
        <v>7489</v>
      </c>
      <c r="AS8" s="45">
        <v>2837748</v>
      </c>
      <c r="AT8" s="28">
        <v>4620000</v>
      </c>
      <c r="AU8" s="41">
        <v>0.61423116883116879</v>
      </c>
      <c r="AV8" s="32">
        <v>2837748</v>
      </c>
      <c r="AW8" s="35">
        <v>0</v>
      </c>
      <c r="AX8" s="43">
        <v>0</v>
      </c>
      <c r="AY8" s="35">
        <v>49683</v>
      </c>
      <c r="AZ8" s="43">
        <v>111550</v>
      </c>
      <c r="BA8" s="44">
        <v>2453801</v>
      </c>
      <c r="BB8" s="38">
        <v>372431</v>
      </c>
      <c r="BC8" s="38">
        <v>11516</v>
      </c>
      <c r="BD8" s="39">
        <v>2837748</v>
      </c>
      <c r="BE8" s="40">
        <v>7166807</v>
      </c>
      <c r="BF8" s="28">
        <v>11000000</v>
      </c>
      <c r="BG8" s="41">
        <v>0.65152790909090907</v>
      </c>
      <c r="BH8" s="30">
        <v>2743308</v>
      </c>
      <c r="BI8" s="30">
        <v>3528905</v>
      </c>
      <c r="BJ8" s="42">
        <v>13439020</v>
      </c>
      <c r="BK8" s="33">
        <v>0</v>
      </c>
      <c r="BL8" s="46">
        <v>0</v>
      </c>
      <c r="BM8" s="33">
        <v>421669</v>
      </c>
      <c r="BN8" s="47">
        <v>408043</v>
      </c>
      <c r="BO8" s="48">
        <v>5715131</v>
      </c>
      <c r="BP8" s="49">
        <v>1377102</v>
      </c>
      <c r="BQ8" s="49">
        <v>74574</v>
      </c>
      <c r="BR8" s="50">
        <v>7166807</v>
      </c>
      <c r="BS8" s="51">
        <v>0</v>
      </c>
      <c r="BT8" s="90"/>
      <c r="BX8" s="91">
        <f>SUM(B8+P8+AD8+AS8)</f>
        <v>7166807</v>
      </c>
      <c r="BY8" s="91">
        <f>BX8-BE8</f>
        <v>0</v>
      </c>
    </row>
    <row r="9" spans="1:80" s="52" customFormat="1" ht="35.1" customHeight="1" x14ac:dyDescent="0.15">
      <c r="A9" s="53" t="s">
        <v>92</v>
      </c>
      <c r="B9" s="27">
        <v>3105913</v>
      </c>
      <c r="C9" s="28">
        <v>3610000</v>
      </c>
      <c r="D9" s="29">
        <v>0.8603637119113573</v>
      </c>
      <c r="E9" s="30">
        <v>1655958</v>
      </c>
      <c r="F9" s="31">
        <v>1655215</v>
      </c>
      <c r="G9" s="32">
        <v>6417086</v>
      </c>
      <c r="H9" s="33">
        <v>0</v>
      </c>
      <c r="I9" s="34">
        <v>0</v>
      </c>
      <c r="J9" s="35">
        <v>0</v>
      </c>
      <c r="K9" s="36">
        <v>81544</v>
      </c>
      <c r="L9" s="37">
        <v>2690662</v>
      </c>
      <c r="M9" s="38">
        <v>380085</v>
      </c>
      <c r="N9" s="38">
        <v>35166</v>
      </c>
      <c r="O9" s="39">
        <v>3105913</v>
      </c>
      <c r="P9" s="40">
        <v>1427227</v>
      </c>
      <c r="Q9" s="28">
        <v>1900000</v>
      </c>
      <c r="R9" s="29">
        <v>0.75117210526315792</v>
      </c>
      <c r="S9" s="30">
        <v>873166</v>
      </c>
      <c r="T9" s="31">
        <v>319280</v>
      </c>
      <c r="U9" s="32">
        <v>2619673</v>
      </c>
      <c r="V9" s="33">
        <v>0</v>
      </c>
      <c r="W9" s="34">
        <v>0</v>
      </c>
      <c r="X9" s="35">
        <v>33944</v>
      </c>
      <c r="Y9" s="36">
        <v>8721</v>
      </c>
      <c r="Z9" s="37">
        <v>642479</v>
      </c>
      <c r="AA9" s="38">
        <v>784748</v>
      </c>
      <c r="AB9" s="38">
        <v>0</v>
      </c>
      <c r="AC9" s="39">
        <v>1427227</v>
      </c>
      <c r="AD9" s="40">
        <v>20578</v>
      </c>
      <c r="AE9" s="28">
        <v>0</v>
      </c>
      <c r="AF9" s="41" t="e">
        <v>#DIV/0!</v>
      </c>
      <c r="AG9" s="30">
        <v>305618</v>
      </c>
      <c r="AH9" s="28">
        <v>1805000</v>
      </c>
      <c r="AI9" s="41">
        <v>0.16931745152354571</v>
      </c>
      <c r="AJ9" s="42">
        <v>326196</v>
      </c>
      <c r="AK9" s="35">
        <v>0</v>
      </c>
      <c r="AL9" s="43">
        <v>0</v>
      </c>
      <c r="AM9" s="35">
        <v>2436</v>
      </c>
      <c r="AN9" s="43">
        <v>0</v>
      </c>
      <c r="AO9" s="44">
        <v>0</v>
      </c>
      <c r="AP9" s="38">
        <v>20578</v>
      </c>
      <c r="AQ9" s="38">
        <v>0</v>
      </c>
      <c r="AR9" s="39">
        <v>20578</v>
      </c>
      <c r="AS9" s="45">
        <v>2893574</v>
      </c>
      <c r="AT9" s="28">
        <v>3990000</v>
      </c>
      <c r="AU9" s="41">
        <v>0.72520651629072685</v>
      </c>
      <c r="AV9" s="32">
        <v>2893574</v>
      </c>
      <c r="AW9" s="35">
        <v>0</v>
      </c>
      <c r="AX9" s="43">
        <v>0</v>
      </c>
      <c r="AY9" s="35">
        <v>28621</v>
      </c>
      <c r="AZ9" s="43">
        <v>0</v>
      </c>
      <c r="BA9" s="44">
        <v>2529375</v>
      </c>
      <c r="BB9" s="38">
        <v>284800</v>
      </c>
      <c r="BC9" s="38">
        <v>79399</v>
      </c>
      <c r="BD9" s="39">
        <v>2893574</v>
      </c>
      <c r="BE9" s="40">
        <v>7447292</v>
      </c>
      <c r="BF9" s="28">
        <v>9500000</v>
      </c>
      <c r="BG9" s="41">
        <v>0.78392547368421051</v>
      </c>
      <c r="BH9" s="30">
        <v>2834742</v>
      </c>
      <c r="BI9" s="30">
        <v>1974495</v>
      </c>
      <c r="BJ9" s="42">
        <v>12256529</v>
      </c>
      <c r="BK9" s="33">
        <v>0</v>
      </c>
      <c r="BL9" s="46">
        <v>0</v>
      </c>
      <c r="BM9" s="33">
        <v>65001</v>
      </c>
      <c r="BN9" s="47">
        <v>90265</v>
      </c>
      <c r="BO9" s="48">
        <v>5862516</v>
      </c>
      <c r="BP9" s="49">
        <v>1470211</v>
      </c>
      <c r="BQ9" s="49">
        <v>114565</v>
      </c>
      <c r="BR9" s="50">
        <v>7447292</v>
      </c>
      <c r="BS9" s="51">
        <v>0</v>
      </c>
      <c r="BT9" s="90"/>
      <c r="BX9" s="91">
        <f t="shared" ref="BX9:BX18" si="0">SUM(B9+P9+AD9+AS9)</f>
        <v>7447292</v>
      </c>
      <c r="BY9" s="91">
        <f t="shared" ref="BY9:BY20" si="1">BX9-BE9</f>
        <v>0</v>
      </c>
    </row>
    <row r="10" spans="1:80" s="52" customFormat="1" ht="35.1" customHeight="1" x14ac:dyDescent="0.15">
      <c r="A10" s="53" t="s">
        <v>70</v>
      </c>
      <c r="B10" s="27">
        <v>3361401</v>
      </c>
      <c r="C10" s="28">
        <v>3800000</v>
      </c>
      <c r="D10" s="29">
        <v>0.88457921052631583</v>
      </c>
      <c r="E10" s="30">
        <v>1465215</v>
      </c>
      <c r="F10" s="31">
        <v>2232515</v>
      </c>
      <c r="G10" s="32">
        <v>7059131</v>
      </c>
      <c r="H10" s="33">
        <v>0</v>
      </c>
      <c r="I10" s="34">
        <v>0</v>
      </c>
      <c r="J10" s="35">
        <v>56354</v>
      </c>
      <c r="K10" s="36">
        <v>64652</v>
      </c>
      <c r="L10" s="37">
        <v>2933838</v>
      </c>
      <c r="M10" s="38">
        <v>357770</v>
      </c>
      <c r="N10" s="38">
        <v>69793</v>
      </c>
      <c r="O10" s="39">
        <v>3361401</v>
      </c>
      <c r="P10" s="40">
        <v>1429141</v>
      </c>
      <c r="Q10" s="28">
        <v>2000000</v>
      </c>
      <c r="R10" s="29">
        <v>0.7145705</v>
      </c>
      <c r="S10" s="30">
        <v>1512015</v>
      </c>
      <c r="T10" s="31">
        <v>342280</v>
      </c>
      <c r="U10" s="32">
        <v>3283436</v>
      </c>
      <c r="V10" s="33">
        <v>0</v>
      </c>
      <c r="W10" s="34">
        <v>0</v>
      </c>
      <c r="X10" s="35">
        <v>6945</v>
      </c>
      <c r="Y10" s="36">
        <v>46193</v>
      </c>
      <c r="Z10" s="37">
        <v>849847</v>
      </c>
      <c r="AA10" s="38">
        <v>543948</v>
      </c>
      <c r="AB10" s="38">
        <v>35346</v>
      </c>
      <c r="AC10" s="39">
        <v>1429141</v>
      </c>
      <c r="AD10" s="40">
        <v>29149</v>
      </c>
      <c r="AE10" s="28">
        <v>0</v>
      </c>
      <c r="AF10" s="41" t="e">
        <v>#DIV/0!</v>
      </c>
      <c r="AG10" s="30">
        <v>133869</v>
      </c>
      <c r="AH10" s="28">
        <v>1900000</v>
      </c>
      <c r="AI10" s="41">
        <v>7.045736842105263E-2</v>
      </c>
      <c r="AJ10" s="42">
        <v>163018</v>
      </c>
      <c r="AK10" s="35">
        <v>0</v>
      </c>
      <c r="AL10" s="43">
        <v>0</v>
      </c>
      <c r="AM10" s="35">
        <v>0</v>
      </c>
      <c r="AN10" s="43">
        <v>3512</v>
      </c>
      <c r="AO10" s="44">
        <v>11883</v>
      </c>
      <c r="AP10" s="38">
        <v>17266</v>
      </c>
      <c r="AQ10" s="38">
        <v>0</v>
      </c>
      <c r="AR10" s="39">
        <v>29149</v>
      </c>
      <c r="AS10" s="45">
        <v>3122074</v>
      </c>
      <c r="AT10" s="28">
        <v>4200000</v>
      </c>
      <c r="AU10" s="41">
        <v>0.74335095238095239</v>
      </c>
      <c r="AV10" s="32">
        <v>3122074</v>
      </c>
      <c r="AW10" s="35">
        <v>0</v>
      </c>
      <c r="AX10" s="43">
        <v>0</v>
      </c>
      <c r="AY10" s="35">
        <v>100436</v>
      </c>
      <c r="AZ10" s="43">
        <v>51091</v>
      </c>
      <c r="BA10" s="44">
        <v>2364851</v>
      </c>
      <c r="BB10" s="38">
        <v>632004</v>
      </c>
      <c r="BC10" s="38">
        <v>125219</v>
      </c>
      <c r="BD10" s="39">
        <v>3122074</v>
      </c>
      <c r="BE10" s="40">
        <v>7941765</v>
      </c>
      <c r="BF10" s="28">
        <v>10000000</v>
      </c>
      <c r="BG10" s="41">
        <v>0.79417649999999995</v>
      </c>
      <c r="BH10" s="30">
        <v>3111099</v>
      </c>
      <c r="BI10" s="30">
        <v>2574795</v>
      </c>
      <c r="BJ10" s="42">
        <v>13627659</v>
      </c>
      <c r="BK10" s="33">
        <v>0</v>
      </c>
      <c r="BL10" s="46">
        <v>0</v>
      </c>
      <c r="BM10" s="33">
        <v>163735</v>
      </c>
      <c r="BN10" s="47">
        <v>165448</v>
      </c>
      <c r="BO10" s="48">
        <v>6160419</v>
      </c>
      <c r="BP10" s="49">
        <v>1550988</v>
      </c>
      <c r="BQ10" s="49">
        <v>230358</v>
      </c>
      <c r="BR10" s="50">
        <v>7941765</v>
      </c>
      <c r="BS10" s="51">
        <v>0</v>
      </c>
      <c r="BT10" s="90"/>
      <c r="BX10" s="91">
        <f t="shared" si="0"/>
        <v>7941765</v>
      </c>
      <c r="BY10" s="91">
        <f t="shared" si="1"/>
        <v>0</v>
      </c>
      <c r="CB10" s="92">
        <v>402639</v>
      </c>
    </row>
    <row r="11" spans="1:80" s="52" customFormat="1" ht="35.1" customHeight="1" x14ac:dyDescent="0.15">
      <c r="A11" s="53" t="s">
        <v>93</v>
      </c>
      <c r="B11" s="27">
        <v>2047990</v>
      </c>
      <c r="C11" s="28">
        <v>3990000</v>
      </c>
      <c r="D11" s="29">
        <v>0.513280701754386</v>
      </c>
      <c r="E11" s="30">
        <v>2742503</v>
      </c>
      <c r="F11" s="31">
        <v>2655885</v>
      </c>
      <c r="G11" s="32">
        <v>7446378</v>
      </c>
      <c r="H11" s="33">
        <v>0</v>
      </c>
      <c r="I11" s="34">
        <v>0</v>
      </c>
      <c r="J11" s="35">
        <v>83068</v>
      </c>
      <c r="K11" s="36">
        <v>380711</v>
      </c>
      <c r="L11" s="37">
        <v>1649595</v>
      </c>
      <c r="M11" s="38">
        <v>283791</v>
      </c>
      <c r="N11" s="38">
        <v>114604</v>
      </c>
      <c r="O11" s="39">
        <v>2047990</v>
      </c>
      <c r="P11" s="40">
        <v>1380992</v>
      </c>
      <c r="Q11" s="28">
        <v>2100000</v>
      </c>
      <c r="R11" s="29">
        <v>0.65761523809523814</v>
      </c>
      <c r="S11" s="30">
        <v>1323700</v>
      </c>
      <c r="T11" s="31">
        <v>201360</v>
      </c>
      <c r="U11" s="32">
        <v>2906052</v>
      </c>
      <c r="V11" s="33">
        <v>0</v>
      </c>
      <c r="W11" s="34">
        <v>0</v>
      </c>
      <c r="X11" s="35">
        <v>12975</v>
      </c>
      <c r="Y11" s="36">
        <v>0</v>
      </c>
      <c r="Z11" s="37">
        <v>828192</v>
      </c>
      <c r="AA11" s="38">
        <v>493976</v>
      </c>
      <c r="AB11" s="38">
        <v>58824</v>
      </c>
      <c r="AC11" s="39">
        <v>1380992</v>
      </c>
      <c r="AD11" s="40">
        <v>6509</v>
      </c>
      <c r="AE11" s="28">
        <v>0</v>
      </c>
      <c r="AF11" s="41" t="e">
        <v>#DIV/0!</v>
      </c>
      <c r="AG11" s="30">
        <v>116407</v>
      </c>
      <c r="AH11" s="28">
        <v>1995000</v>
      </c>
      <c r="AI11" s="41">
        <v>5.8349373433583956E-2</v>
      </c>
      <c r="AJ11" s="42">
        <v>122916</v>
      </c>
      <c r="AK11" s="35">
        <v>0</v>
      </c>
      <c r="AL11" s="43">
        <v>0</v>
      </c>
      <c r="AM11" s="35">
        <v>0</v>
      </c>
      <c r="AN11" s="43">
        <v>0</v>
      </c>
      <c r="AO11" s="44">
        <v>1447</v>
      </c>
      <c r="AP11" s="38">
        <v>5062</v>
      </c>
      <c r="AQ11" s="38">
        <v>0</v>
      </c>
      <c r="AR11" s="39">
        <v>6509</v>
      </c>
      <c r="AS11" s="45">
        <v>4144903</v>
      </c>
      <c r="AT11" s="28">
        <v>4410000</v>
      </c>
      <c r="AU11" s="41">
        <v>0.9398873015873016</v>
      </c>
      <c r="AV11" s="32">
        <v>4144903</v>
      </c>
      <c r="AW11" s="35">
        <v>0</v>
      </c>
      <c r="AX11" s="43">
        <v>0</v>
      </c>
      <c r="AY11" s="35">
        <v>34426</v>
      </c>
      <c r="AZ11" s="43">
        <v>15867</v>
      </c>
      <c r="BA11" s="44">
        <v>3532767</v>
      </c>
      <c r="BB11" s="38">
        <v>427324</v>
      </c>
      <c r="BC11" s="38">
        <v>184812</v>
      </c>
      <c r="BD11" s="39">
        <v>4144903</v>
      </c>
      <c r="BE11" s="40">
        <v>7580394</v>
      </c>
      <c r="BF11" s="28">
        <v>10500000</v>
      </c>
      <c r="BG11" s="41">
        <v>0.72194228571428576</v>
      </c>
      <c r="BH11" s="30">
        <v>4182610</v>
      </c>
      <c r="BI11" s="30">
        <v>2857245</v>
      </c>
      <c r="BJ11" s="42">
        <v>14620249</v>
      </c>
      <c r="BK11" s="33">
        <v>0</v>
      </c>
      <c r="BL11" s="46">
        <v>0</v>
      </c>
      <c r="BM11" s="33">
        <v>130469</v>
      </c>
      <c r="BN11" s="47">
        <v>396578</v>
      </c>
      <c r="BO11" s="48">
        <v>6012001</v>
      </c>
      <c r="BP11" s="49">
        <v>1210153</v>
      </c>
      <c r="BQ11" s="49">
        <v>358240</v>
      </c>
      <c r="BR11" s="50">
        <v>7580394</v>
      </c>
      <c r="BS11" s="51">
        <v>0</v>
      </c>
      <c r="BT11" s="90"/>
      <c r="BX11" s="91">
        <f t="shared" si="0"/>
        <v>7580394</v>
      </c>
      <c r="BY11" s="91">
        <f t="shared" si="1"/>
        <v>0</v>
      </c>
      <c r="CB11" s="92">
        <v>287124</v>
      </c>
    </row>
    <row r="12" spans="1:80" s="52" customFormat="1" ht="35.1" customHeight="1" x14ac:dyDescent="0.15">
      <c r="A12" s="53" t="s">
        <v>94</v>
      </c>
      <c r="B12" s="27">
        <v>2879392</v>
      </c>
      <c r="C12" s="28">
        <v>3610000</v>
      </c>
      <c r="D12" s="29">
        <v>0.79761551246537399</v>
      </c>
      <c r="E12" s="30">
        <v>1481200</v>
      </c>
      <c r="F12" s="31">
        <v>1876718</v>
      </c>
      <c r="G12" s="32">
        <v>6237310</v>
      </c>
      <c r="H12" s="33">
        <v>0</v>
      </c>
      <c r="I12" s="34">
        <v>0</v>
      </c>
      <c r="J12" s="35">
        <v>348507</v>
      </c>
      <c r="K12" s="36">
        <v>108990</v>
      </c>
      <c r="L12" s="37">
        <v>2465800</v>
      </c>
      <c r="M12" s="38">
        <v>398956</v>
      </c>
      <c r="N12" s="38">
        <v>14636</v>
      </c>
      <c r="O12" s="39">
        <v>2879392</v>
      </c>
      <c r="P12" s="40">
        <v>1787825</v>
      </c>
      <c r="Q12" s="28">
        <v>1900000</v>
      </c>
      <c r="R12" s="29">
        <v>0.94096052631578952</v>
      </c>
      <c r="S12" s="30">
        <v>665818</v>
      </c>
      <c r="T12" s="31">
        <v>379520</v>
      </c>
      <c r="U12" s="32">
        <v>2833163</v>
      </c>
      <c r="V12" s="33">
        <v>0</v>
      </c>
      <c r="W12" s="34">
        <v>0</v>
      </c>
      <c r="X12" s="35">
        <v>0</v>
      </c>
      <c r="Y12" s="36">
        <v>21021</v>
      </c>
      <c r="Z12" s="37">
        <v>1227952</v>
      </c>
      <c r="AA12" s="38">
        <v>536873</v>
      </c>
      <c r="AB12" s="38">
        <v>23000</v>
      </c>
      <c r="AC12" s="39">
        <v>1787825</v>
      </c>
      <c r="AD12" s="40">
        <v>15909</v>
      </c>
      <c r="AE12" s="28">
        <v>0</v>
      </c>
      <c r="AF12" s="41" t="e">
        <v>#DIV/0!</v>
      </c>
      <c r="AG12" s="30">
        <v>419781</v>
      </c>
      <c r="AH12" s="28">
        <v>1805000</v>
      </c>
      <c r="AI12" s="41">
        <v>0.23256565096952908</v>
      </c>
      <c r="AJ12" s="42">
        <v>435690</v>
      </c>
      <c r="AK12" s="35">
        <v>0</v>
      </c>
      <c r="AL12" s="43">
        <v>0</v>
      </c>
      <c r="AM12" s="35">
        <v>0</v>
      </c>
      <c r="AN12" s="43">
        <v>0</v>
      </c>
      <c r="AO12" s="44">
        <v>4158</v>
      </c>
      <c r="AP12" s="38">
        <v>11751</v>
      </c>
      <c r="AQ12" s="38">
        <v>0</v>
      </c>
      <c r="AR12" s="39">
        <v>15909</v>
      </c>
      <c r="AS12" s="45">
        <v>2573272</v>
      </c>
      <c r="AT12" s="28">
        <v>3990000</v>
      </c>
      <c r="AU12" s="41">
        <v>0.64493032581453635</v>
      </c>
      <c r="AV12" s="32">
        <v>2573272</v>
      </c>
      <c r="AW12" s="35">
        <v>0</v>
      </c>
      <c r="AX12" s="43">
        <v>0</v>
      </c>
      <c r="AY12" s="35">
        <v>6412</v>
      </c>
      <c r="AZ12" s="43">
        <v>0</v>
      </c>
      <c r="BA12" s="44">
        <v>2358778</v>
      </c>
      <c r="BB12" s="38">
        <v>199496</v>
      </c>
      <c r="BC12" s="38">
        <v>14998</v>
      </c>
      <c r="BD12" s="39">
        <v>2573272</v>
      </c>
      <c r="BE12" s="40">
        <v>7256398</v>
      </c>
      <c r="BF12" s="28">
        <v>9500000</v>
      </c>
      <c r="BG12" s="41">
        <v>0.76383136842105259</v>
      </c>
      <c r="BH12" s="30">
        <v>2566799</v>
      </c>
      <c r="BI12" s="30">
        <v>2256238</v>
      </c>
      <c r="BJ12" s="42">
        <v>12079435</v>
      </c>
      <c r="BK12" s="33">
        <v>0</v>
      </c>
      <c r="BL12" s="46">
        <v>0</v>
      </c>
      <c r="BM12" s="33">
        <v>354919</v>
      </c>
      <c r="BN12" s="47">
        <v>130011</v>
      </c>
      <c r="BO12" s="48">
        <v>6056688</v>
      </c>
      <c r="BP12" s="49">
        <v>1147076</v>
      </c>
      <c r="BQ12" s="49">
        <v>52634</v>
      </c>
      <c r="BR12" s="50">
        <v>7256398</v>
      </c>
      <c r="BS12" s="51">
        <v>0</v>
      </c>
      <c r="BT12" s="90"/>
      <c r="BX12" s="91">
        <f t="shared" si="0"/>
        <v>7256398</v>
      </c>
      <c r="BY12" s="91">
        <f t="shared" si="1"/>
        <v>0</v>
      </c>
      <c r="CB12" s="92">
        <v>256859</v>
      </c>
    </row>
    <row r="13" spans="1:80" s="52" customFormat="1" ht="35.1" customHeight="1" x14ac:dyDescent="0.15">
      <c r="A13" s="53" t="s">
        <v>73</v>
      </c>
      <c r="B13" s="27">
        <v>3826944</v>
      </c>
      <c r="C13" s="28">
        <v>3610000</v>
      </c>
      <c r="D13" s="29">
        <v>1.0600952908587258</v>
      </c>
      <c r="E13" s="30">
        <v>351069</v>
      </c>
      <c r="F13" s="31">
        <v>2578470</v>
      </c>
      <c r="G13" s="32">
        <v>6756483</v>
      </c>
      <c r="H13" s="33">
        <v>0</v>
      </c>
      <c r="I13" s="34">
        <v>0</v>
      </c>
      <c r="J13" s="35">
        <v>58758</v>
      </c>
      <c r="K13" s="36">
        <v>86470</v>
      </c>
      <c r="L13" s="37">
        <v>2272271</v>
      </c>
      <c r="M13" s="38">
        <v>1473945</v>
      </c>
      <c r="N13" s="38">
        <v>80728</v>
      </c>
      <c r="O13" s="39">
        <v>3826944</v>
      </c>
      <c r="P13" s="40">
        <v>1326588</v>
      </c>
      <c r="Q13" s="28">
        <v>1900000</v>
      </c>
      <c r="R13" s="29">
        <v>0.69820421052631576</v>
      </c>
      <c r="S13" s="30">
        <v>697351</v>
      </c>
      <c r="T13" s="31">
        <v>1046480</v>
      </c>
      <c r="U13" s="32">
        <v>3070419</v>
      </c>
      <c r="V13" s="33">
        <v>0</v>
      </c>
      <c r="W13" s="34">
        <v>0</v>
      </c>
      <c r="X13" s="35">
        <v>0</v>
      </c>
      <c r="Y13" s="36">
        <v>43852</v>
      </c>
      <c r="Z13" s="37">
        <v>775806</v>
      </c>
      <c r="AA13" s="38">
        <v>475872</v>
      </c>
      <c r="AB13" s="38">
        <v>74910</v>
      </c>
      <c r="AC13" s="39">
        <v>1326588</v>
      </c>
      <c r="AD13" s="40">
        <v>170279</v>
      </c>
      <c r="AE13" s="28">
        <v>0</v>
      </c>
      <c r="AF13" s="41" t="e">
        <v>#DIV/0!</v>
      </c>
      <c r="AG13" s="30">
        <v>450106</v>
      </c>
      <c r="AH13" s="28">
        <v>1805000</v>
      </c>
      <c r="AI13" s="41">
        <v>0.24936620498614959</v>
      </c>
      <c r="AJ13" s="42">
        <v>620385</v>
      </c>
      <c r="AK13" s="35">
        <v>0</v>
      </c>
      <c r="AL13" s="43">
        <v>0</v>
      </c>
      <c r="AM13" s="35">
        <v>0</v>
      </c>
      <c r="AN13" s="43">
        <v>0</v>
      </c>
      <c r="AO13" s="44">
        <v>4196</v>
      </c>
      <c r="AP13" s="38">
        <v>166083</v>
      </c>
      <c r="AQ13" s="38">
        <v>0</v>
      </c>
      <c r="AR13" s="39">
        <v>170279</v>
      </c>
      <c r="AS13" s="45">
        <v>1454731</v>
      </c>
      <c r="AT13" s="28">
        <v>3990000</v>
      </c>
      <c r="AU13" s="41">
        <v>0.36459423558897242</v>
      </c>
      <c r="AV13" s="32">
        <v>1454731</v>
      </c>
      <c r="AW13" s="35">
        <v>0</v>
      </c>
      <c r="AX13" s="43">
        <v>0</v>
      </c>
      <c r="AY13" s="35">
        <v>57085</v>
      </c>
      <c r="AZ13" s="43">
        <v>0</v>
      </c>
      <c r="BA13" s="44">
        <v>1218560</v>
      </c>
      <c r="BB13" s="38">
        <v>181719</v>
      </c>
      <c r="BC13" s="38">
        <v>54452</v>
      </c>
      <c r="BD13" s="39">
        <v>1454731</v>
      </c>
      <c r="BE13" s="40">
        <v>6778542</v>
      </c>
      <c r="BF13" s="28">
        <v>9500000</v>
      </c>
      <c r="BG13" s="41">
        <v>0.71353073684210522</v>
      </c>
      <c r="BH13" s="30">
        <v>1498526</v>
      </c>
      <c r="BI13" s="30">
        <v>3624950</v>
      </c>
      <c r="BJ13" s="42">
        <v>11902018</v>
      </c>
      <c r="BK13" s="33">
        <v>0</v>
      </c>
      <c r="BL13" s="46">
        <v>0</v>
      </c>
      <c r="BM13" s="33">
        <v>115843</v>
      </c>
      <c r="BN13" s="47">
        <v>130322</v>
      </c>
      <c r="BO13" s="48">
        <v>4270833</v>
      </c>
      <c r="BP13" s="49">
        <v>2297619</v>
      </c>
      <c r="BQ13" s="49">
        <v>210090</v>
      </c>
      <c r="BR13" s="50">
        <v>6778542</v>
      </c>
      <c r="BS13" s="51">
        <v>0</v>
      </c>
      <c r="BT13" s="90"/>
      <c r="BX13" s="91">
        <f t="shared" si="0"/>
        <v>6778542</v>
      </c>
      <c r="BY13" s="91">
        <f t="shared" si="1"/>
        <v>0</v>
      </c>
      <c r="CB13" s="92">
        <v>325481</v>
      </c>
    </row>
    <row r="14" spans="1:80" s="52" customFormat="1" ht="35.1" customHeight="1" x14ac:dyDescent="0.15">
      <c r="A14" s="53" t="s">
        <v>95</v>
      </c>
      <c r="B14" s="27">
        <v>4220194</v>
      </c>
      <c r="C14" s="28">
        <v>4370000</v>
      </c>
      <c r="D14" s="29">
        <v>0.96571945080091537</v>
      </c>
      <c r="E14" s="30">
        <v>870154</v>
      </c>
      <c r="F14" s="31">
        <v>2817689</v>
      </c>
      <c r="G14" s="32">
        <v>7908037</v>
      </c>
      <c r="H14" s="33">
        <v>0</v>
      </c>
      <c r="I14" s="34">
        <v>49780</v>
      </c>
      <c r="J14" s="35">
        <v>138746</v>
      </c>
      <c r="K14" s="36">
        <v>466253</v>
      </c>
      <c r="L14" s="37">
        <v>3241244</v>
      </c>
      <c r="M14" s="38">
        <v>978950</v>
      </c>
      <c r="N14" s="38">
        <v>0</v>
      </c>
      <c r="O14" s="39">
        <v>4220194</v>
      </c>
      <c r="P14" s="40">
        <v>2401160</v>
      </c>
      <c r="Q14" s="28">
        <v>2300000</v>
      </c>
      <c r="R14" s="29">
        <v>1.0439826086956521</v>
      </c>
      <c r="S14" s="30">
        <v>313450</v>
      </c>
      <c r="T14" s="31">
        <v>663638</v>
      </c>
      <c r="U14" s="32">
        <v>3378248</v>
      </c>
      <c r="V14" s="33">
        <v>0</v>
      </c>
      <c r="W14" s="34">
        <v>0</v>
      </c>
      <c r="X14" s="35">
        <v>13005</v>
      </c>
      <c r="Y14" s="36">
        <v>12395</v>
      </c>
      <c r="Z14" s="37">
        <v>1194655</v>
      </c>
      <c r="AA14" s="38">
        <v>1042485</v>
      </c>
      <c r="AB14" s="38">
        <v>164020</v>
      </c>
      <c r="AC14" s="39">
        <v>2401160</v>
      </c>
      <c r="AD14" s="40">
        <v>236515</v>
      </c>
      <c r="AE14" s="28">
        <v>0</v>
      </c>
      <c r="AF14" s="41" t="e">
        <v>#DIV/0!</v>
      </c>
      <c r="AG14" s="30">
        <v>284833</v>
      </c>
      <c r="AH14" s="28">
        <v>2185000</v>
      </c>
      <c r="AI14" s="41">
        <v>0.13035835240274599</v>
      </c>
      <c r="AJ14" s="42">
        <v>521348</v>
      </c>
      <c r="AK14" s="35">
        <v>0</v>
      </c>
      <c r="AL14" s="43">
        <v>0</v>
      </c>
      <c r="AM14" s="35">
        <v>10625</v>
      </c>
      <c r="AN14" s="43">
        <v>2017</v>
      </c>
      <c r="AO14" s="44">
        <v>27612</v>
      </c>
      <c r="AP14" s="38">
        <v>208903</v>
      </c>
      <c r="AQ14" s="38">
        <v>0</v>
      </c>
      <c r="AR14" s="39">
        <v>236515</v>
      </c>
      <c r="AS14" s="45">
        <v>1610267</v>
      </c>
      <c r="AT14" s="28">
        <v>4830000</v>
      </c>
      <c r="AU14" s="41">
        <v>0.33338861283643895</v>
      </c>
      <c r="AV14" s="32">
        <v>1610267</v>
      </c>
      <c r="AW14" s="35">
        <v>0</v>
      </c>
      <c r="AX14" s="43">
        <v>0</v>
      </c>
      <c r="AY14" s="35">
        <v>154869</v>
      </c>
      <c r="AZ14" s="43">
        <v>104192</v>
      </c>
      <c r="BA14" s="44">
        <v>1269852</v>
      </c>
      <c r="BB14" s="38">
        <v>328682</v>
      </c>
      <c r="BC14" s="38">
        <v>11733</v>
      </c>
      <c r="BD14" s="39">
        <v>1610267</v>
      </c>
      <c r="BE14" s="40">
        <v>8468136</v>
      </c>
      <c r="BF14" s="28">
        <v>11500000</v>
      </c>
      <c r="BG14" s="41">
        <v>0.73635965217391308</v>
      </c>
      <c r="BH14" s="30">
        <v>1468437</v>
      </c>
      <c r="BI14" s="30">
        <v>3481327</v>
      </c>
      <c r="BJ14" s="42">
        <v>13417900</v>
      </c>
      <c r="BK14" s="33">
        <v>0</v>
      </c>
      <c r="BL14" s="46">
        <v>0</v>
      </c>
      <c r="BM14" s="33">
        <v>317245</v>
      </c>
      <c r="BN14" s="47">
        <v>634637</v>
      </c>
      <c r="BO14" s="48">
        <v>5733363</v>
      </c>
      <c r="BP14" s="49">
        <v>2559020</v>
      </c>
      <c r="BQ14" s="49">
        <v>175753</v>
      </c>
      <c r="BR14" s="50">
        <v>8468136</v>
      </c>
      <c r="BS14" s="51">
        <v>0</v>
      </c>
      <c r="BT14" s="90"/>
      <c r="BX14" s="91">
        <f t="shared" si="0"/>
        <v>8468136</v>
      </c>
      <c r="BY14" s="91">
        <f t="shared" si="1"/>
        <v>0</v>
      </c>
      <c r="CB14" s="92">
        <v>277296</v>
      </c>
    </row>
    <row r="15" spans="1:80" s="52" customFormat="1" ht="35.1" customHeight="1" x14ac:dyDescent="0.15">
      <c r="A15" s="53" t="s">
        <v>75</v>
      </c>
      <c r="B15" s="27">
        <v>2082513</v>
      </c>
      <c r="C15" s="28">
        <v>3230000</v>
      </c>
      <c r="D15" s="29">
        <v>0.64474086687306498</v>
      </c>
      <c r="E15" s="30">
        <v>1054349</v>
      </c>
      <c r="F15" s="31">
        <v>1361171</v>
      </c>
      <c r="G15" s="32">
        <v>4498033</v>
      </c>
      <c r="H15" s="33">
        <v>0</v>
      </c>
      <c r="I15" s="34">
        <v>0</v>
      </c>
      <c r="J15" s="35">
        <v>46902</v>
      </c>
      <c r="K15" s="36">
        <v>373642</v>
      </c>
      <c r="L15" s="37">
        <v>1803902</v>
      </c>
      <c r="M15" s="38">
        <v>240691</v>
      </c>
      <c r="N15" s="38">
        <v>37920</v>
      </c>
      <c r="O15" s="39">
        <v>2082513</v>
      </c>
      <c r="P15" s="40">
        <v>1601665</v>
      </c>
      <c r="Q15" s="28">
        <v>1700000</v>
      </c>
      <c r="R15" s="29">
        <v>0.94215588235294123</v>
      </c>
      <c r="S15" s="30">
        <v>376194</v>
      </c>
      <c r="T15" s="31">
        <v>173960</v>
      </c>
      <c r="U15" s="32">
        <v>2151819</v>
      </c>
      <c r="V15" s="33">
        <v>0</v>
      </c>
      <c r="W15" s="34">
        <v>0</v>
      </c>
      <c r="X15" s="35">
        <v>2914</v>
      </c>
      <c r="Y15" s="36">
        <v>15612</v>
      </c>
      <c r="Z15" s="37">
        <v>962649</v>
      </c>
      <c r="AA15" s="38">
        <v>480084</v>
      </c>
      <c r="AB15" s="38">
        <v>158932</v>
      </c>
      <c r="AC15" s="39">
        <v>1601665</v>
      </c>
      <c r="AD15" s="40">
        <v>124697</v>
      </c>
      <c r="AE15" s="28">
        <v>0</v>
      </c>
      <c r="AF15" s="41" t="e">
        <v>#DIV/0!</v>
      </c>
      <c r="AG15" s="30">
        <v>294262</v>
      </c>
      <c r="AH15" s="28">
        <v>1615000</v>
      </c>
      <c r="AI15" s="41">
        <v>0.18220557275541796</v>
      </c>
      <c r="AJ15" s="42">
        <v>418959</v>
      </c>
      <c r="AK15" s="35">
        <v>0</v>
      </c>
      <c r="AL15" s="43">
        <v>0</v>
      </c>
      <c r="AM15" s="35">
        <v>2024</v>
      </c>
      <c r="AN15" s="43">
        <v>4034</v>
      </c>
      <c r="AO15" s="44">
        <v>0</v>
      </c>
      <c r="AP15" s="38">
        <v>124697</v>
      </c>
      <c r="AQ15" s="38">
        <v>0</v>
      </c>
      <c r="AR15" s="39">
        <v>124697</v>
      </c>
      <c r="AS15" s="45">
        <v>1736915</v>
      </c>
      <c r="AT15" s="28">
        <v>3570000</v>
      </c>
      <c r="AU15" s="41">
        <v>0.48653081232492995</v>
      </c>
      <c r="AV15" s="32">
        <v>1736915</v>
      </c>
      <c r="AW15" s="35">
        <v>0</v>
      </c>
      <c r="AX15" s="43">
        <v>0</v>
      </c>
      <c r="AY15" s="35">
        <v>14038</v>
      </c>
      <c r="AZ15" s="43">
        <v>0</v>
      </c>
      <c r="BA15" s="44">
        <v>1296475</v>
      </c>
      <c r="BB15" s="38">
        <v>411126</v>
      </c>
      <c r="BC15" s="38">
        <v>29314</v>
      </c>
      <c r="BD15" s="39">
        <v>1736915</v>
      </c>
      <c r="BE15" s="40">
        <v>5545790</v>
      </c>
      <c r="BF15" s="28">
        <v>8500000</v>
      </c>
      <c r="BG15" s="41">
        <v>0.65244588235294121</v>
      </c>
      <c r="BH15" s="30">
        <v>1724805</v>
      </c>
      <c r="BI15" s="30">
        <v>1535131</v>
      </c>
      <c r="BJ15" s="42">
        <v>8805726</v>
      </c>
      <c r="BK15" s="33">
        <v>0</v>
      </c>
      <c r="BL15" s="46">
        <v>0</v>
      </c>
      <c r="BM15" s="33">
        <v>112496</v>
      </c>
      <c r="BN15" s="47">
        <v>393288</v>
      </c>
      <c r="BO15" s="48">
        <v>4063026</v>
      </c>
      <c r="BP15" s="49">
        <v>1256598</v>
      </c>
      <c r="BQ15" s="49">
        <v>226166</v>
      </c>
      <c r="BR15" s="50">
        <v>5545790</v>
      </c>
      <c r="BS15" s="51">
        <v>0</v>
      </c>
      <c r="BT15" s="90"/>
      <c r="BX15" s="91">
        <f t="shared" si="0"/>
        <v>5545790</v>
      </c>
      <c r="BY15" s="91">
        <f t="shared" si="1"/>
        <v>0</v>
      </c>
      <c r="CB15" s="92">
        <v>156175</v>
      </c>
    </row>
    <row r="16" spans="1:80" s="52" customFormat="1" ht="35.1" customHeight="1" x14ac:dyDescent="0.15">
      <c r="A16" s="53" t="s">
        <v>96</v>
      </c>
      <c r="B16" s="27">
        <v>2955196</v>
      </c>
      <c r="C16" s="28">
        <v>3420000</v>
      </c>
      <c r="D16" s="29">
        <v>0.86409239766081869</v>
      </c>
      <c r="E16" s="30">
        <v>1385243</v>
      </c>
      <c r="F16" s="31">
        <v>2180039</v>
      </c>
      <c r="G16" s="32">
        <v>6520478</v>
      </c>
      <c r="H16" s="33">
        <v>0</v>
      </c>
      <c r="I16" s="34">
        <v>0</v>
      </c>
      <c r="J16" s="35">
        <v>56852</v>
      </c>
      <c r="K16" s="36">
        <v>37909</v>
      </c>
      <c r="L16" s="37">
        <v>2453558</v>
      </c>
      <c r="M16" s="38">
        <v>463547</v>
      </c>
      <c r="N16" s="38">
        <v>38091</v>
      </c>
      <c r="O16" s="39">
        <v>2955196</v>
      </c>
      <c r="P16" s="40">
        <v>1255585</v>
      </c>
      <c r="Q16" s="28">
        <v>1800000</v>
      </c>
      <c r="R16" s="29">
        <v>0.69754722222222221</v>
      </c>
      <c r="S16" s="30">
        <v>939105</v>
      </c>
      <c r="T16" s="31">
        <v>311943</v>
      </c>
      <c r="U16" s="32">
        <v>2506633</v>
      </c>
      <c r="V16" s="33">
        <v>0</v>
      </c>
      <c r="W16" s="34">
        <v>0</v>
      </c>
      <c r="X16" s="35">
        <v>37019</v>
      </c>
      <c r="Y16" s="36">
        <v>30904</v>
      </c>
      <c r="Z16" s="37">
        <v>679365</v>
      </c>
      <c r="AA16" s="38">
        <v>565083</v>
      </c>
      <c r="AB16" s="38">
        <v>11137</v>
      </c>
      <c r="AC16" s="39">
        <v>1255585</v>
      </c>
      <c r="AD16" s="40">
        <v>9600</v>
      </c>
      <c r="AE16" s="28">
        <v>0</v>
      </c>
      <c r="AF16" s="41" t="e">
        <v>#DIV/0!</v>
      </c>
      <c r="AG16" s="30">
        <v>313866</v>
      </c>
      <c r="AH16" s="28">
        <v>1710000</v>
      </c>
      <c r="AI16" s="41">
        <v>0.18354736842105263</v>
      </c>
      <c r="AJ16" s="42">
        <v>323466</v>
      </c>
      <c r="AK16" s="35">
        <v>0</v>
      </c>
      <c r="AL16" s="43">
        <v>0</v>
      </c>
      <c r="AM16" s="35">
        <v>0</v>
      </c>
      <c r="AN16" s="43">
        <v>2815</v>
      </c>
      <c r="AO16" s="44">
        <v>0</v>
      </c>
      <c r="AP16" s="38">
        <v>9600</v>
      </c>
      <c r="AQ16" s="38">
        <v>0</v>
      </c>
      <c r="AR16" s="39">
        <v>9600</v>
      </c>
      <c r="AS16" s="45">
        <v>2634538</v>
      </c>
      <c r="AT16" s="28">
        <v>3780000</v>
      </c>
      <c r="AU16" s="41">
        <v>0.69696772486772485</v>
      </c>
      <c r="AV16" s="32">
        <v>2634538</v>
      </c>
      <c r="AW16" s="35">
        <v>0</v>
      </c>
      <c r="AX16" s="43">
        <v>0</v>
      </c>
      <c r="AY16" s="35">
        <v>1763</v>
      </c>
      <c r="AZ16" s="43">
        <v>13796</v>
      </c>
      <c r="BA16" s="44">
        <v>2350839</v>
      </c>
      <c r="BB16" s="38">
        <v>219852</v>
      </c>
      <c r="BC16" s="38">
        <v>63847</v>
      </c>
      <c r="BD16" s="39">
        <v>2634538</v>
      </c>
      <c r="BE16" s="40">
        <v>6854919</v>
      </c>
      <c r="BF16" s="28">
        <v>9000000</v>
      </c>
      <c r="BG16" s="41">
        <v>0.76165766666666668</v>
      </c>
      <c r="BH16" s="30">
        <v>2638214</v>
      </c>
      <c r="BI16" s="30">
        <v>2491982</v>
      </c>
      <c r="BJ16" s="42">
        <v>11985115</v>
      </c>
      <c r="BK16" s="33">
        <v>0</v>
      </c>
      <c r="BL16" s="46">
        <v>0</v>
      </c>
      <c r="BM16" s="33">
        <v>95634</v>
      </c>
      <c r="BN16" s="47">
        <v>85424</v>
      </c>
      <c r="BO16" s="48">
        <v>5483762</v>
      </c>
      <c r="BP16" s="49">
        <v>1258082</v>
      </c>
      <c r="BQ16" s="49">
        <v>113075</v>
      </c>
      <c r="BR16" s="50">
        <v>6854919</v>
      </c>
      <c r="BS16" s="51">
        <v>0</v>
      </c>
      <c r="BT16" s="90"/>
      <c r="BX16" s="91">
        <f>SUM(B16+P16+AD16+AS16)</f>
        <v>6854919</v>
      </c>
      <c r="BY16" s="91">
        <f t="shared" si="1"/>
        <v>0</v>
      </c>
      <c r="CB16" s="93">
        <f>SUM(CB10:CB15)</f>
        <v>1705574</v>
      </c>
    </row>
    <row r="17" spans="1:77" s="52" customFormat="1" ht="35.1" customHeight="1" x14ac:dyDescent="0.15">
      <c r="A17" s="53" t="s">
        <v>97</v>
      </c>
      <c r="B17" s="27">
        <v>3031279</v>
      </c>
      <c r="C17" s="28">
        <v>3800000</v>
      </c>
      <c r="D17" s="29">
        <v>0.797705</v>
      </c>
      <c r="E17" s="30">
        <v>1680378</v>
      </c>
      <c r="F17" s="31">
        <v>1575077</v>
      </c>
      <c r="G17" s="32">
        <v>6286734</v>
      </c>
      <c r="H17" s="33">
        <v>0</v>
      </c>
      <c r="I17" s="34">
        <v>0</v>
      </c>
      <c r="J17" s="35">
        <v>0</v>
      </c>
      <c r="K17" s="36">
        <v>77924</v>
      </c>
      <c r="L17" s="37">
        <v>2745088</v>
      </c>
      <c r="M17" s="38">
        <v>286191</v>
      </c>
      <c r="N17" s="38">
        <v>0</v>
      </c>
      <c r="O17" s="39">
        <v>3031279</v>
      </c>
      <c r="P17" s="40">
        <v>1613754</v>
      </c>
      <c r="Q17" s="28">
        <v>2000000</v>
      </c>
      <c r="R17" s="29">
        <v>0.80687699999999996</v>
      </c>
      <c r="S17" s="30">
        <v>292647</v>
      </c>
      <c r="T17" s="31">
        <v>347560</v>
      </c>
      <c r="U17" s="32">
        <v>2253961</v>
      </c>
      <c r="V17" s="33">
        <v>0</v>
      </c>
      <c r="W17" s="34">
        <v>0</v>
      </c>
      <c r="X17" s="35">
        <v>6469</v>
      </c>
      <c r="Y17" s="36">
        <v>56867</v>
      </c>
      <c r="Z17" s="37">
        <v>601784</v>
      </c>
      <c r="AA17" s="38">
        <v>994881</v>
      </c>
      <c r="AB17" s="38">
        <v>17089</v>
      </c>
      <c r="AC17" s="39">
        <v>1613754</v>
      </c>
      <c r="AD17" s="40">
        <v>43351</v>
      </c>
      <c r="AE17" s="28">
        <v>0</v>
      </c>
      <c r="AF17" s="41" t="e">
        <v>#DIV/0!</v>
      </c>
      <c r="AG17" s="30">
        <v>310159</v>
      </c>
      <c r="AH17" s="28">
        <v>1900000</v>
      </c>
      <c r="AI17" s="41">
        <v>0.16324157894736843</v>
      </c>
      <c r="AJ17" s="42">
        <v>353510</v>
      </c>
      <c r="AK17" s="35">
        <v>0</v>
      </c>
      <c r="AL17" s="43">
        <v>0</v>
      </c>
      <c r="AM17" s="35">
        <v>0</v>
      </c>
      <c r="AN17" s="43">
        <v>0</v>
      </c>
      <c r="AO17" s="44">
        <v>26295</v>
      </c>
      <c r="AP17" s="38">
        <v>17056</v>
      </c>
      <c r="AQ17" s="38">
        <v>0</v>
      </c>
      <c r="AR17" s="39">
        <v>43351</v>
      </c>
      <c r="AS17" s="45">
        <v>2214590</v>
      </c>
      <c r="AT17" s="28">
        <v>4200000</v>
      </c>
      <c r="AU17" s="41">
        <v>0.52728333333333333</v>
      </c>
      <c r="AV17" s="32">
        <v>2214590</v>
      </c>
      <c r="AW17" s="35">
        <v>0</v>
      </c>
      <c r="AX17" s="43">
        <v>0</v>
      </c>
      <c r="AY17" s="35">
        <v>35889</v>
      </c>
      <c r="AZ17" s="43">
        <v>17046</v>
      </c>
      <c r="BA17" s="44">
        <v>1844491</v>
      </c>
      <c r="BB17" s="38">
        <v>327792</v>
      </c>
      <c r="BC17" s="38">
        <v>42307</v>
      </c>
      <c r="BD17" s="39">
        <v>2214590</v>
      </c>
      <c r="BE17" s="40">
        <v>6902974</v>
      </c>
      <c r="BF17" s="28">
        <v>10000000</v>
      </c>
      <c r="BG17" s="41">
        <v>0.69029739999999995</v>
      </c>
      <c r="BH17" s="30">
        <v>2283184</v>
      </c>
      <c r="BI17" s="30">
        <v>1922637</v>
      </c>
      <c r="BJ17" s="42">
        <v>11108795</v>
      </c>
      <c r="BK17" s="33">
        <v>0</v>
      </c>
      <c r="BL17" s="46">
        <v>0</v>
      </c>
      <c r="BM17" s="33">
        <v>42358</v>
      </c>
      <c r="BN17" s="47">
        <v>151837</v>
      </c>
      <c r="BO17" s="48">
        <v>5217658</v>
      </c>
      <c r="BP17" s="49">
        <v>1625920</v>
      </c>
      <c r="BQ17" s="49">
        <v>59396</v>
      </c>
      <c r="BR17" s="50">
        <v>6902974</v>
      </c>
      <c r="BS17" s="51">
        <v>0</v>
      </c>
      <c r="BT17" s="90"/>
      <c r="BX17" s="91">
        <f t="shared" si="0"/>
        <v>6902974</v>
      </c>
      <c r="BY17" s="91">
        <f t="shared" si="1"/>
        <v>0</v>
      </c>
    </row>
    <row r="18" spans="1:77" s="52" customFormat="1" ht="35.1" customHeight="1" x14ac:dyDescent="0.15">
      <c r="A18" s="53" t="s">
        <v>98</v>
      </c>
      <c r="B18" s="27">
        <v>3636644</v>
      </c>
      <c r="C18" s="28">
        <v>3990000</v>
      </c>
      <c r="D18" s="29">
        <v>0.91143959899749372</v>
      </c>
      <c r="E18" s="30">
        <v>1717139</v>
      </c>
      <c r="F18" s="31">
        <v>2682581</v>
      </c>
      <c r="G18" s="32">
        <v>8036364</v>
      </c>
      <c r="H18" s="33">
        <v>0</v>
      </c>
      <c r="I18" s="34">
        <v>0</v>
      </c>
      <c r="J18" s="35">
        <v>0</v>
      </c>
      <c r="K18" s="36">
        <v>434958</v>
      </c>
      <c r="L18" s="37">
        <v>2554799</v>
      </c>
      <c r="M18" s="38">
        <v>1055399</v>
      </c>
      <c r="N18" s="38">
        <v>26446</v>
      </c>
      <c r="O18" s="39">
        <v>3636644</v>
      </c>
      <c r="P18" s="40">
        <v>1868722</v>
      </c>
      <c r="Q18" s="28">
        <v>2100000</v>
      </c>
      <c r="R18" s="29">
        <v>0.88986761904761902</v>
      </c>
      <c r="S18" s="30">
        <v>611411</v>
      </c>
      <c r="T18" s="31">
        <v>208640</v>
      </c>
      <c r="U18" s="32">
        <v>2688773</v>
      </c>
      <c r="V18" s="33">
        <v>0</v>
      </c>
      <c r="W18" s="34">
        <v>0</v>
      </c>
      <c r="X18" s="35">
        <v>37904</v>
      </c>
      <c r="Y18" s="36">
        <v>97341</v>
      </c>
      <c r="Z18" s="37">
        <v>890895</v>
      </c>
      <c r="AA18" s="38">
        <v>957175</v>
      </c>
      <c r="AB18" s="38">
        <v>20652</v>
      </c>
      <c r="AC18" s="39">
        <v>1868722</v>
      </c>
      <c r="AD18" s="40">
        <v>76110</v>
      </c>
      <c r="AE18" s="28">
        <v>0</v>
      </c>
      <c r="AF18" s="41" t="e">
        <v>#DIV/0!</v>
      </c>
      <c r="AG18" s="30">
        <v>217774</v>
      </c>
      <c r="AH18" s="28">
        <v>1995000</v>
      </c>
      <c r="AI18" s="41">
        <v>0.10915989974937343</v>
      </c>
      <c r="AJ18" s="42">
        <v>293884</v>
      </c>
      <c r="AK18" s="35">
        <v>0</v>
      </c>
      <c r="AL18" s="43">
        <v>0</v>
      </c>
      <c r="AM18" s="35">
        <v>0</v>
      </c>
      <c r="AN18" s="43">
        <v>11036</v>
      </c>
      <c r="AO18" s="44">
        <v>39420</v>
      </c>
      <c r="AP18" s="38">
        <v>36690</v>
      </c>
      <c r="AQ18" s="38">
        <v>0</v>
      </c>
      <c r="AR18" s="94">
        <v>76110</v>
      </c>
      <c r="AS18" s="45">
        <v>2493975</v>
      </c>
      <c r="AT18" s="95">
        <v>4410000</v>
      </c>
      <c r="AU18" s="41">
        <v>0.56552721088435376</v>
      </c>
      <c r="AV18" s="32">
        <v>2493975</v>
      </c>
      <c r="AW18" s="35">
        <v>0</v>
      </c>
      <c r="AX18" s="43">
        <v>0</v>
      </c>
      <c r="AY18" s="35">
        <v>27512</v>
      </c>
      <c r="AZ18" s="43">
        <v>33588</v>
      </c>
      <c r="BA18" s="44">
        <v>2272882</v>
      </c>
      <c r="BB18" s="38">
        <v>171371</v>
      </c>
      <c r="BC18" s="38">
        <v>49722</v>
      </c>
      <c r="BD18" s="39">
        <v>2298274</v>
      </c>
      <c r="BE18" s="40">
        <v>8075451</v>
      </c>
      <c r="BF18" s="28">
        <v>10500000</v>
      </c>
      <c r="BG18" s="41">
        <v>0.7690905714285714</v>
      </c>
      <c r="BH18" s="30">
        <v>2546324</v>
      </c>
      <c r="BI18" s="30">
        <v>2891221</v>
      </c>
      <c r="BJ18" s="42">
        <v>13512996</v>
      </c>
      <c r="BK18" s="33">
        <v>0</v>
      </c>
      <c r="BL18" s="46">
        <v>0</v>
      </c>
      <c r="BM18" s="33">
        <v>65416</v>
      </c>
      <c r="BN18" s="47">
        <v>576923</v>
      </c>
      <c r="BO18" s="48">
        <v>5757996</v>
      </c>
      <c r="BP18" s="49">
        <v>2220635</v>
      </c>
      <c r="BQ18" s="49">
        <v>96820</v>
      </c>
      <c r="BR18" s="50">
        <v>8075451</v>
      </c>
      <c r="BS18" s="51">
        <v>0</v>
      </c>
      <c r="BT18" s="90"/>
      <c r="BX18" s="91">
        <f t="shared" si="0"/>
        <v>8075451</v>
      </c>
      <c r="BY18" s="91">
        <f t="shared" si="1"/>
        <v>0</v>
      </c>
    </row>
    <row r="19" spans="1:77" s="52" customFormat="1" ht="35.1" customHeight="1" thickBot="1" x14ac:dyDescent="0.2">
      <c r="A19" s="53" t="s">
        <v>99</v>
      </c>
      <c r="B19" s="27">
        <v>3214305</v>
      </c>
      <c r="C19" s="28">
        <v>3990000</v>
      </c>
      <c r="D19" s="29">
        <v>0.8055902255639098</v>
      </c>
      <c r="E19" s="30">
        <v>2976152</v>
      </c>
      <c r="F19" s="31">
        <v>2861131</v>
      </c>
      <c r="G19" s="32">
        <v>9051588</v>
      </c>
      <c r="H19" s="33">
        <v>0</v>
      </c>
      <c r="I19" s="34">
        <v>0</v>
      </c>
      <c r="J19" s="35">
        <v>0</v>
      </c>
      <c r="K19" s="36">
        <v>144472</v>
      </c>
      <c r="L19" s="37">
        <v>2380533</v>
      </c>
      <c r="M19" s="38">
        <v>806330</v>
      </c>
      <c r="N19" s="38">
        <v>27442</v>
      </c>
      <c r="O19" s="39">
        <v>3214305</v>
      </c>
      <c r="P19" s="40">
        <v>1603416</v>
      </c>
      <c r="Q19" s="28">
        <v>2100000</v>
      </c>
      <c r="R19" s="29">
        <v>0.76353142857142853</v>
      </c>
      <c r="S19" s="30">
        <v>546668</v>
      </c>
      <c r="T19" s="31">
        <v>459231</v>
      </c>
      <c r="U19" s="32">
        <v>2609315</v>
      </c>
      <c r="V19" s="33">
        <v>0</v>
      </c>
      <c r="W19" s="34">
        <v>0</v>
      </c>
      <c r="X19" s="35">
        <v>15269</v>
      </c>
      <c r="Y19" s="36">
        <v>28223</v>
      </c>
      <c r="Z19" s="37">
        <v>1031490</v>
      </c>
      <c r="AA19" s="38">
        <v>559214</v>
      </c>
      <c r="AB19" s="38">
        <v>12712</v>
      </c>
      <c r="AC19" s="39">
        <v>1603416</v>
      </c>
      <c r="AD19" s="40">
        <v>11207</v>
      </c>
      <c r="AE19" s="28">
        <v>0</v>
      </c>
      <c r="AF19" s="41" t="e">
        <v>#DIV/0!</v>
      </c>
      <c r="AG19" s="30">
        <v>182505</v>
      </c>
      <c r="AH19" s="28">
        <v>1995000</v>
      </c>
      <c r="AI19" s="41">
        <v>9.1481203007518802E-2</v>
      </c>
      <c r="AJ19" s="42">
        <v>193712</v>
      </c>
      <c r="AK19" s="35">
        <v>0</v>
      </c>
      <c r="AL19" s="43">
        <v>0</v>
      </c>
      <c r="AM19" s="35">
        <v>1774</v>
      </c>
      <c r="AN19" s="43">
        <v>0</v>
      </c>
      <c r="AO19" s="44">
        <v>4503</v>
      </c>
      <c r="AP19" s="38">
        <v>6704</v>
      </c>
      <c r="AQ19" s="38">
        <v>0</v>
      </c>
      <c r="AR19" s="39">
        <v>11207</v>
      </c>
      <c r="AS19" s="45">
        <v>3584311</v>
      </c>
      <c r="AT19" s="28">
        <v>4410000</v>
      </c>
      <c r="AU19" s="41">
        <v>0.81276893424036278</v>
      </c>
      <c r="AV19" s="32">
        <v>3584311</v>
      </c>
      <c r="AW19" s="35">
        <v>0</v>
      </c>
      <c r="AX19" s="43">
        <v>0</v>
      </c>
      <c r="AY19" s="35">
        <v>86092</v>
      </c>
      <c r="AZ19" s="43">
        <v>0</v>
      </c>
      <c r="BA19" s="44">
        <v>3419458</v>
      </c>
      <c r="BB19" s="38">
        <v>131105</v>
      </c>
      <c r="BC19" s="38">
        <v>33748</v>
      </c>
      <c r="BD19" s="39">
        <v>3584311</v>
      </c>
      <c r="BE19" s="40">
        <v>8413239</v>
      </c>
      <c r="BF19" s="28">
        <v>10500000</v>
      </c>
      <c r="BG19" s="41">
        <v>0.80126085714285711</v>
      </c>
      <c r="BH19" s="30">
        <v>3705325</v>
      </c>
      <c r="BI19" s="30">
        <v>3320362</v>
      </c>
      <c r="BJ19" s="42">
        <v>15438926</v>
      </c>
      <c r="BK19" s="33">
        <v>0</v>
      </c>
      <c r="BL19" s="46">
        <v>0</v>
      </c>
      <c r="BM19" s="33">
        <v>103135</v>
      </c>
      <c r="BN19" s="47">
        <v>172695</v>
      </c>
      <c r="BO19" s="48">
        <v>6835984</v>
      </c>
      <c r="BP19" s="49">
        <v>1503353</v>
      </c>
      <c r="BQ19" s="49">
        <v>73902</v>
      </c>
      <c r="BR19" s="50">
        <v>8413239</v>
      </c>
      <c r="BS19" s="51">
        <v>0</v>
      </c>
      <c r="BT19" s="90"/>
      <c r="BX19" s="91" t="e">
        <f>SUM(B19+P19+AD19+#REF!)</f>
        <v>#REF!</v>
      </c>
      <c r="BY19" s="91" t="e">
        <f>BX19-BE19</f>
        <v>#REF!</v>
      </c>
    </row>
    <row r="20" spans="1:77" s="10" customFormat="1" ht="35.1" customHeight="1" thickTop="1" thickBot="1" x14ac:dyDescent="0.2">
      <c r="A20" s="54" t="s">
        <v>100</v>
      </c>
      <c r="B20" s="55">
        <f>SUM(B8:B19)</f>
        <v>36929251</v>
      </c>
      <c r="C20" s="56">
        <f>SUM(C8:C19)</f>
        <v>45600000</v>
      </c>
      <c r="D20" s="57">
        <f>B20/C20</f>
        <v>0.80985199561403509</v>
      </c>
      <c r="E20" s="58">
        <f>SUM(E8:E19)</f>
        <v>19331192</v>
      </c>
      <c r="F20" s="59">
        <f>SUM(F8:F19)</f>
        <v>27507796</v>
      </c>
      <c r="G20" s="60">
        <f>B20+E20+F20</f>
        <v>83768239</v>
      </c>
      <c r="H20" s="61">
        <f t="shared" ref="H20:N20" si="2">SUM(H8:H19)</f>
        <v>0</v>
      </c>
      <c r="I20" s="62">
        <f t="shared" si="2"/>
        <v>49780</v>
      </c>
      <c r="J20" s="61">
        <f t="shared" si="2"/>
        <v>1109378</v>
      </c>
      <c r="K20" s="62">
        <f t="shared" si="2"/>
        <v>2525710</v>
      </c>
      <c r="L20" s="63">
        <f t="shared" si="2"/>
        <v>29456044</v>
      </c>
      <c r="M20" s="63">
        <f t="shared" si="2"/>
        <v>7028381</v>
      </c>
      <c r="N20" s="63">
        <f t="shared" si="2"/>
        <v>444826</v>
      </c>
      <c r="O20" s="64">
        <f>SUM(L20:N20)</f>
        <v>36929251</v>
      </c>
      <c r="P20" s="65">
        <f>SUM(P8:P19)</f>
        <v>19450165</v>
      </c>
      <c r="Q20" s="56">
        <f>SUM(Q8:Q19)</f>
        <v>24000000</v>
      </c>
      <c r="R20" s="57">
        <f>P20/Q20</f>
        <v>0.81042354166666664</v>
      </c>
      <c r="S20" s="58">
        <f>SUM(S8:S19)</f>
        <v>8503109</v>
      </c>
      <c r="T20" s="59">
        <f>SUM(T8:T19)</f>
        <v>4951492</v>
      </c>
      <c r="U20" s="60">
        <f>P20+S20+T20</f>
        <v>32904766</v>
      </c>
      <c r="V20" s="61">
        <f t="shared" ref="V20:AB20" si="3">SUM(V8:V19)</f>
        <v>0</v>
      </c>
      <c r="W20" s="62">
        <f t="shared" si="3"/>
        <v>0</v>
      </c>
      <c r="X20" s="61">
        <f t="shared" si="3"/>
        <v>218239</v>
      </c>
      <c r="Y20" s="62">
        <f t="shared" si="3"/>
        <v>389437</v>
      </c>
      <c r="Z20" s="63">
        <f t="shared" si="3"/>
        <v>10679232</v>
      </c>
      <c r="AA20" s="63">
        <f t="shared" si="3"/>
        <v>8131253</v>
      </c>
      <c r="AB20" s="63">
        <f t="shared" si="3"/>
        <v>639680</v>
      </c>
      <c r="AC20" s="64">
        <f>SUM(Z20:AB20)</f>
        <v>19450165</v>
      </c>
      <c r="AD20" s="65">
        <f>SUM(AD8:AD19)</f>
        <v>751393</v>
      </c>
      <c r="AE20" s="56">
        <f>SUM(AE8:AE19)</f>
        <v>0</v>
      </c>
      <c r="AF20" s="57" t="e">
        <f>AD20/AE20</f>
        <v>#DIV/0!</v>
      </c>
      <c r="AG20" s="58">
        <f>SUM(AG8:AG19)</f>
        <v>3469072</v>
      </c>
      <c r="AH20" s="56">
        <f>SUM(AH8:AH19)</f>
        <v>22800000</v>
      </c>
      <c r="AI20" s="57">
        <f>AG20/AH20</f>
        <v>0.15215228070175438</v>
      </c>
      <c r="AJ20" s="66">
        <f>AD20+AG20</f>
        <v>4220465</v>
      </c>
      <c r="AK20" s="61">
        <f t="shared" ref="AK20:AT20" si="4">SUM(AK8:AK19)</f>
        <v>0</v>
      </c>
      <c r="AL20" s="62">
        <f t="shared" si="4"/>
        <v>0</v>
      </c>
      <c r="AM20" s="61">
        <f t="shared" si="4"/>
        <v>16859</v>
      </c>
      <c r="AN20" s="62">
        <f t="shared" si="4"/>
        <v>23414</v>
      </c>
      <c r="AO20" s="67">
        <f t="shared" si="4"/>
        <v>121972</v>
      </c>
      <c r="AP20" s="67">
        <f t="shared" si="4"/>
        <v>629421</v>
      </c>
      <c r="AQ20" s="67">
        <f t="shared" si="4"/>
        <v>0</v>
      </c>
      <c r="AR20" s="68">
        <f t="shared" si="4"/>
        <v>751393</v>
      </c>
      <c r="AS20" s="69">
        <f>SUM(AS8:AS19)</f>
        <v>31300898</v>
      </c>
      <c r="AT20" s="56">
        <f t="shared" si="4"/>
        <v>50400000</v>
      </c>
      <c r="AU20" s="57">
        <f>AS19/AT20</f>
        <v>7.1117281746031741E-2</v>
      </c>
      <c r="AV20" s="60">
        <f>SUM(AV8:AV19)</f>
        <v>31300898</v>
      </c>
      <c r="AW20" s="61">
        <f t="shared" ref="AW20:BD20" si="5">SUM(AW8:AW19)</f>
        <v>0</v>
      </c>
      <c r="AX20" s="62">
        <f t="shared" si="5"/>
        <v>0</v>
      </c>
      <c r="AY20" s="61">
        <f t="shared" si="5"/>
        <v>596826</v>
      </c>
      <c r="AZ20" s="62">
        <f t="shared" si="5"/>
        <v>347130</v>
      </c>
      <c r="BA20" s="63">
        <f t="shared" si="5"/>
        <v>26912129</v>
      </c>
      <c r="BB20" s="63">
        <f t="shared" si="5"/>
        <v>3687702</v>
      </c>
      <c r="BC20" s="63">
        <f t="shared" si="5"/>
        <v>701067</v>
      </c>
      <c r="BD20" s="70">
        <f t="shared" si="5"/>
        <v>31105197</v>
      </c>
      <c r="BE20" s="69">
        <f>SUM(BE8:BE19)</f>
        <v>88431707</v>
      </c>
      <c r="BF20" s="56">
        <f>SUM(BF8:BF19)</f>
        <v>120000000</v>
      </c>
      <c r="BG20" s="57">
        <f>BE20/BF20</f>
        <v>0.7369308916666667</v>
      </c>
      <c r="BH20" s="58">
        <f t="shared" ref="BH20:BQ20" si="6">SUM(BH8:BH19)</f>
        <v>31303373</v>
      </c>
      <c r="BI20" s="58">
        <f t="shared" si="6"/>
        <v>32459288</v>
      </c>
      <c r="BJ20" s="72">
        <f t="shared" si="6"/>
        <v>152194368</v>
      </c>
      <c r="BK20" s="61">
        <f t="shared" si="6"/>
        <v>0</v>
      </c>
      <c r="BL20" s="73">
        <f t="shared" si="6"/>
        <v>0</v>
      </c>
      <c r="BM20" s="61">
        <f t="shared" si="6"/>
        <v>1987920</v>
      </c>
      <c r="BN20" s="73">
        <f t="shared" si="6"/>
        <v>3335471</v>
      </c>
      <c r="BO20" s="74">
        <f t="shared" si="6"/>
        <v>67169377</v>
      </c>
      <c r="BP20" s="75">
        <f t="shared" si="6"/>
        <v>19476757</v>
      </c>
      <c r="BQ20" s="75">
        <f t="shared" si="6"/>
        <v>1785573</v>
      </c>
      <c r="BR20" s="64">
        <f>SUM(BO20:BQ20)</f>
        <v>88431707</v>
      </c>
      <c r="BS20" s="76">
        <f>SUM(BS8:BS19)</f>
        <v>0</v>
      </c>
      <c r="BT20" s="87"/>
      <c r="BX20" s="91">
        <f>SUM(B20+P20+AD20+AS19)</f>
        <v>60715120</v>
      </c>
      <c r="BY20" s="91">
        <f t="shared" si="1"/>
        <v>-27716587</v>
      </c>
    </row>
    <row r="21" spans="1:77" x14ac:dyDescent="0.15">
      <c r="B21" s="78"/>
      <c r="C21" s="78"/>
      <c r="D21" s="78"/>
      <c r="E21" s="78"/>
      <c r="P21" s="78"/>
      <c r="R21" s="78"/>
      <c r="S21" s="78"/>
    </row>
    <row r="22" spans="1:77" ht="20.25" x14ac:dyDescent="0.2">
      <c r="D22" s="77" ph="1"/>
      <c r="R22" s="77" ph="1"/>
      <c r="AG22" s="98"/>
      <c r="BE22" s="78"/>
    </row>
    <row r="23" spans="1:77" ht="20.25" x14ac:dyDescent="0.2">
      <c r="D23" s="77" ph="1"/>
      <c r="R23" s="77" ph="1"/>
      <c r="AG23" s="98"/>
      <c r="AV23" s="10"/>
    </row>
    <row r="24" spans="1:77" ht="20.25" x14ac:dyDescent="0.2">
      <c r="D24" s="77" ph="1"/>
      <c r="R24" s="77" ph="1"/>
      <c r="AG24" s="98"/>
      <c r="AV24" s="10"/>
      <c r="BI24" s="83">
        <f>16642+30078+25223</f>
        <v>71943</v>
      </c>
    </row>
    <row r="25" spans="1:77" ht="20.25" x14ac:dyDescent="0.2">
      <c r="D25" s="77" ph="1"/>
      <c r="R25" s="77" ph="1"/>
      <c r="AG25" s="98"/>
      <c r="AV25" s="10"/>
    </row>
    <row r="26" spans="1:77" ht="20.25" x14ac:dyDescent="0.2">
      <c r="D26" s="77" ph="1"/>
      <c r="R26" s="77" ph="1"/>
      <c r="AG26" s="98"/>
      <c r="AH26" s="98"/>
      <c r="AL26" s="99"/>
      <c r="AV26" s="10"/>
    </row>
    <row r="27" spans="1:77" ht="20.25" x14ac:dyDescent="0.2">
      <c r="D27" s="77" ph="1"/>
      <c r="R27" s="77" ph="1"/>
      <c r="AG27" s="98"/>
      <c r="AH27" s="98"/>
      <c r="AL27" s="99"/>
      <c r="AV27" s="10"/>
    </row>
    <row r="28" spans="1:77" ht="19.5" x14ac:dyDescent="0.15">
      <c r="AG28" s="98"/>
      <c r="AL28" s="99"/>
      <c r="AV28" s="10"/>
    </row>
    <row r="29" spans="1:77" ht="19.5" x14ac:dyDescent="0.15">
      <c r="AG29" s="98"/>
      <c r="AV29" s="10"/>
    </row>
    <row r="30" spans="1:77" ht="19.5" x14ac:dyDescent="0.15">
      <c r="AG30" s="98"/>
      <c r="AV30" s="10"/>
    </row>
    <row r="31" spans="1:77" ht="19.5" x14ac:dyDescent="0.15">
      <c r="AG31" s="98"/>
      <c r="AV31" s="10"/>
    </row>
    <row r="32" spans="1:77" x14ac:dyDescent="0.15">
      <c r="AV32" s="10"/>
    </row>
    <row r="33" spans="4:48" x14ac:dyDescent="0.15">
      <c r="AV33" s="10"/>
    </row>
    <row r="34" spans="4:48" x14ac:dyDescent="0.15">
      <c r="AV34" s="10"/>
    </row>
    <row r="41" spans="4:48" ht="20.25" x14ac:dyDescent="0.2">
      <c r="D41" s="77" ph="1"/>
      <c r="R41" s="77" ph="1"/>
    </row>
    <row r="42" spans="4:48" ht="20.25" x14ac:dyDescent="0.2">
      <c r="D42" s="77" ph="1"/>
      <c r="R42" s="77" ph="1"/>
    </row>
    <row r="43" spans="4:48" ht="20.25" x14ac:dyDescent="0.2">
      <c r="D43" s="77" ph="1"/>
      <c r="R43" s="77" ph="1"/>
    </row>
    <row r="44" spans="4:48" ht="20.25" x14ac:dyDescent="0.2">
      <c r="D44" s="77" ph="1"/>
      <c r="R44" s="77" ph="1"/>
    </row>
    <row r="45" spans="4:48" ht="20.25" x14ac:dyDescent="0.2">
      <c r="D45" s="77" ph="1"/>
      <c r="R45" s="77" ph="1"/>
    </row>
    <row r="46" spans="4:48" ht="20.25" x14ac:dyDescent="0.2">
      <c r="D46" s="77" ph="1"/>
      <c r="R46" s="77" ph="1"/>
    </row>
  </sheetData>
  <customSheetViews>
    <customSheetView guid="{92DE7E81-188B-400C-BE95-FD63ABDF8569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EBC6F117-7011-42E1-9204-AFA5AE46444E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B36B1895-E9A1-4552-80C2-AE733C5D8FC0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D392CFE5-9754-418C-A1C2-3219D700ECE9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11C8E2F-3E2A-4A2A-9E9E-AAFA15EA9C86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5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6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7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70" printArea="1" hiddenColumns="1" view="pageBreakPreview" showRuler="0">
      <pane xSplit="1" ySplit="7" topLeftCell="B8" activePane="bottomRight" state="frozen"/>
      <selection pane="bottomRight" activeCell="BI12" sqref="BI12"/>
      <colBreaks count="1" manualBreakCount="1">
        <brk id="66" max="38" man="1"/>
      </colBreaks>
      <pageMargins left="0.23" right="0" top="0.75" bottom="0" header="0.39370078740157483" footer="0.2"/>
      <pageSetup paperSize="9" scale="53" orientation="landscape" r:id="rId8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60">
    <mergeCell ref="AK6:AL6"/>
    <mergeCell ref="AM6:AN6"/>
    <mergeCell ref="AO6:AR6"/>
    <mergeCell ref="AS6:AU6"/>
    <mergeCell ref="AV6:AV7"/>
    <mergeCell ref="AK5:AR5"/>
    <mergeCell ref="AS5:AV5"/>
    <mergeCell ref="AW5:BD5"/>
    <mergeCell ref="BE5:BN5"/>
    <mergeCell ref="BO5:BR5"/>
    <mergeCell ref="BS5:BS7"/>
    <mergeCell ref="AW6:AX6"/>
    <mergeCell ref="AY6:AZ6"/>
    <mergeCell ref="BA6:BD6"/>
    <mergeCell ref="BE6:BG6"/>
    <mergeCell ref="BO6:BR6"/>
    <mergeCell ref="BH6:BH7"/>
    <mergeCell ref="BI6:BI7"/>
    <mergeCell ref="BJ6:BJ7"/>
    <mergeCell ref="BK6:BL6"/>
    <mergeCell ref="BM6:BN6"/>
    <mergeCell ref="A5:A7"/>
    <mergeCell ref="B5:G5"/>
    <mergeCell ref="H5:O5"/>
    <mergeCell ref="P5:U5"/>
    <mergeCell ref="V5:AC5"/>
    <mergeCell ref="H6:I6"/>
    <mergeCell ref="J6:K6"/>
    <mergeCell ref="L6:O6"/>
    <mergeCell ref="P6:R6"/>
    <mergeCell ref="S6:S7"/>
    <mergeCell ref="T6:T7"/>
    <mergeCell ref="U6:U7"/>
    <mergeCell ref="V6:W6"/>
    <mergeCell ref="X6:Y6"/>
    <mergeCell ref="Z6:AC6"/>
    <mergeCell ref="AD5:AJ5"/>
    <mergeCell ref="B6:D6"/>
    <mergeCell ref="E6:E7"/>
    <mergeCell ref="F6:F7"/>
    <mergeCell ref="G6:G7"/>
    <mergeCell ref="AG6:AI6"/>
    <mergeCell ref="AD6:AF6"/>
    <mergeCell ref="AJ6:AJ7"/>
    <mergeCell ref="BI1:BL1"/>
    <mergeCell ref="BM1:BN1"/>
    <mergeCell ref="AV2:BE4"/>
    <mergeCell ref="BG2:BH4"/>
    <mergeCell ref="BI2:BL4"/>
    <mergeCell ref="BM2:BN4"/>
    <mergeCell ref="BG1:BH1"/>
    <mergeCell ref="A1:D4"/>
    <mergeCell ref="E1:P2"/>
    <mergeCell ref="R1:AT2"/>
    <mergeCell ref="AU1:AU4"/>
    <mergeCell ref="AV1:BE1"/>
    <mergeCell ref="E3:P3"/>
    <mergeCell ref="R3:AT3"/>
    <mergeCell ref="E4:P4"/>
    <mergeCell ref="R4:AT4"/>
  </mergeCells>
  <phoneticPr fontId="3" type="noConversion"/>
  <pageMargins left="0.23" right="0" top="0.75" bottom="0" header="0.39370078740157483" footer="0.2"/>
  <pageSetup paperSize="9" scale="53" orientation="landscape" r:id="rId9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autoPageBreaks="0"/>
  </sheetPr>
  <dimension ref="A1:CB46"/>
  <sheetViews>
    <sheetView showRuler="0" view="pageBreakPreview" zoomScale="70" zoomScaleNormal="85" zoomScaleSheetLayoutView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R15" sqref="R15"/>
    </sheetView>
  </sheetViews>
  <sheetFormatPr defaultRowHeight="15" x14ac:dyDescent="0.15"/>
  <cols>
    <col min="1" max="1" width="7" style="77" customWidth="1"/>
    <col min="2" max="2" width="11.33203125" style="77" customWidth="1"/>
    <col min="3" max="3" width="10.33203125" style="77" hidden="1" customWidth="1"/>
    <col min="4" max="4" width="7.77734375" style="77" customWidth="1"/>
    <col min="5" max="5" width="10.77734375" style="77" customWidth="1"/>
    <col min="6" max="6" width="9.88671875" style="77" hidden="1" customWidth="1"/>
    <col min="7" max="7" width="10.77734375" style="77" customWidth="1"/>
    <col min="8" max="8" width="10.33203125" style="79" hidden="1" customWidth="1"/>
    <col min="9" max="9" width="10" style="79" hidden="1" customWidth="1"/>
    <col min="10" max="10" width="10.33203125" style="79" hidden="1" customWidth="1"/>
    <col min="11" max="11" width="10" style="79" hidden="1" customWidth="1"/>
    <col min="12" max="15" width="10.33203125" style="80" hidden="1" customWidth="1"/>
    <col min="16" max="16" width="11.33203125" style="77" customWidth="1"/>
    <col min="17" max="17" width="10.33203125" style="81" hidden="1" customWidth="1"/>
    <col min="18" max="18" width="7.77734375" style="77" customWidth="1"/>
    <col min="19" max="19" width="10.77734375" style="77" customWidth="1"/>
    <col min="20" max="20" width="9.88671875" style="82" hidden="1" customWidth="1"/>
    <col min="21" max="21" width="10.77734375" style="77" customWidth="1"/>
    <col min="22" max="22" width="10.33203125" style="79" hidden="1" customWidth="1"/>
    <col min="23" max="23" width="10" style="79" hidden="1" customWidth="1"/>
    <col min="24" max="24" width="10.33203125" style="79" hidden="1" customWidth="1"/>
    <col min="25" max="25" width="10" style="79" hidden="1" customWidth="1"/>
    <col min="26" max="29" width="10.33203125" style="80" hidden="1" customWidth="1"/>
    <col min="30" max="30" width="10.33203125" style="77" customWidth="1"/>
    <col min="31" max="31" width="10.33203125" style="81" hidden="1" customWidth="1"/>
    <col min="32" max="32" width="10.33203125" style="77" hidden="1" customWidth="1"/>
    <col min="33" max="33" width="10.77734375" style="77" customWidth="1"/>
    <col min="34" max="34" width="10.33203125" style="77" hidden="1" customWidth="1"/>
    <col min="35" max="35" width="10.33203125" style="77" customWidth="1"/>
    <col min="36" max="36" width="10.77734375" style="77" customWidth="1"/>
    <col min="37" max="37" width="10.33203125" style="79" hidden="1" customWidth="1"/>
    <col min="38" max="38" width="10" style="79" hidden="1" customWidth="1"/>
    <col min="39" max="39" width="10.33203125" style="79" hidden="1" customWidth="1"/>
    <col min="40" max="40" width="10" style="79" hidden="1" customWidth="1"/>
    <col min="41" max="44" width="10.33203125" style="80" hidden="1" customWidth="1"/>
    <col min="45" max="45" width="11.77734375" style="77" customWidth="1"/>
    <col min="46" max="46" width="11.44140625" style="81" hidden="1" customWidth="1"/>
    <col min="47" max="47" width="7.77734375" style="77" customWidth="1"/>
    <col min="48" max="48" width="11.77734375" style="77" customWidth="1"/>
    <col min="49" max="49" width="10.33203125" style="79" hidden="1" customWidth="1"/>
    <col min="50" max="50" width="10" style="79" hidden="1" customWidth="1"/>
    <col min="51" max="51" width="10.33203125" style="79" hidden="1" customWidth="1"/>
    <col min="52" max="52" width="10" style="79" hidden="1" customWidth="1"/>
    <col min="53" max="56" width="10.33203125" style="80" hidden="1" customWidth="1"/>
    <col min="57" max="57" width="11.77734375" style="77" customWidth="1"/>
    <col min="58" max="58" width="10.88671875" style="81" hidden="1" customWidth="1"/>
    <col min="59" max="59" width="7.77734375" style="77" customWidth="1"/>
    <col min="60" max="60" width="11.77734375" style="77" customWidth="1"/>
    <col min="61" max="61" width="11.77734375" style="83" customWidth="1"/>
    <col min="62" max="62" width="11.77734375" style="77" customWidth="1"/>
    <col min="63" max="63" width="10.33203125" style="79" hidden="1" customWidth="1"/>
    <col min="64" max="64" width="10" style="79" hidden="1" customWidth="1"/>
    <col min="65" max="65" width="10.33203125" style="79" customWidth="1"/>
    <col min="66" max="66" width="10" style="79" customWidth="1"/>
    <col min="67" max="67" width="11.77734375" style="84" hidden="1" customWidth="1"/>
    <col min="68" max="69" width="10.33203125" style="84" hidden="1" customWidth="1"/>
    <col min="70" max="70" width="11.21875" style="84" hidden="1" customWidth="1"/>
    <col min="71" max="71" width="11.5546875" style="85" hidden="1" customWidth="1"/>
    <col min="72" max="72" width="11.109375" style="86" customWidth="1"/>
    <col min="73" max="73" width="9.77734375" style="85" customWidth="1"/>
    <col min="74" max="74" width="8.88671875" style="85" customWidth="1"/>
    <col min="75" max="75" width="8.88671875" style="85"/>
    <col min="76" max="76" width="11.109375" style="85" bestFit="1" customWidth="1"/>
    <col min="77" max="77" width="10.6640625" style="85" bestFit="1" customWidth="1"/>
    <col min="78" max="79" width="8.88671875" style="85"/>
    <col min="80" max="80" width="11.21875" style="85" bestFit="1" customWidth="1"/>
    <col min="81" max="16384" width="8.88671875" style="85"/>
  </cols>
  <sheetData>
    <row r="1" spans="1:80" s="5" customFormat="1" ht="28.5" customHeight="1" x14ac:dyDescent="0.15">
      <c r="A1" s="101"/>
      <c r="B1" s="102"/>
      <c r="C1" s="102"/>
      <c r="D1" s="102"/>
      <c r="E1" s="185" t="s">
        <v>27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"/>
      <c r="R1" s="107" t="s">
        <v>28</v>
      </c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9"/>
      <c r="AU1" s="193" t="s">
        <v>29</v>
      </c>
      <c r="AV1" s="113" t="s">
        <v>30</v>
      </c>
      <c r="AW1" s="113"/>
      <c r="AX1" s="113"/>
      <c r="AY1" s="113"/>
      <c r="AZ1" s="113"/>
      <c r="BA1" s="113"/>
      <c r="BB1" s="113"/>
      <c r="BC1" s="113"/>
      <c r="BD1" s="113"/>
      <c r="BE1" s="113"/>
      <c r="BF1" s="2"/>
      <c r="BG1" s="113" t="s">
        <v>31</v>
      </c>
      <c r="BH1" s="113"/>
      <c r="BI1" s="113" t="s">
        <v>32</v>
      </c>
      <c r="BJ1" s="113"/>
      <c r="BK1" s="113"/>
      <c r="BL1" s="113"/>
      <c r="BM1" s="113" t="s">
        <v>33</v>
      </c>
      <c r="BN1" s="132"/>
      <c r="BO1" s="3"/>
      <c r="BP1" s="4"/>
      <c r="BQ1" s="4"/>
      <c r="BR1" s="4"/>
      <c r="BT1" s="86"/>
    </row>
    <row r="2" spans="1:80" s="5" customFormat="1" ht="15" customHeight="1" x14ac:dyDescent="0.15">
      <c r="A2" s="103"/>
      <c r="B2" s="104"/>
      <c r="C2" s="104"/>
      <c r="D2" s="104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6"/>
      <c r="R2" s="190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2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7"/>
      <c r="BG2" s="133"/>
      <c r="BH2" s="134"/>
      <c r="BI2" s="134"/>
      <c r="BJ2" s="134"/>
      <c r="BK2" s="134"/>
      <c r="BL2" s="134"/>
      <c r="BM2" s="134"/>
      <c r="BN2" s="136"/>
      <c r="BO2" s="3"/>
      <c r="BP2" s="4"/>
      <c r="BQ2" s="4"/>
      <c r="BR2" s="4"/>
      <c r="BT2" s="86"/>
    </row>
    <row r="3" spans="1:80" s="5" customFormat="1" ht="39.950000000000003" customHeight="1" x14ac:dyDescent="0.15">
      <c r="A3" s="103"/>
      <c r="B3" s="104"/>
      <c r="C3" s="104"/>
      <c r="D3" s="104"/>
      <c r="E3" s="194" t="s">
        <v>34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6"/>
      <c r="R3" s="195" t="s">
        <v>35</v>
      </c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7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7"/>
      <c r="BG3" s="134"/>
      <c r="BH3" s="134"/>
      <c r="BI3" s="134"/>
      <c r="BJ3" s="134"/>
      <c r="BK3" s="134"/>
      <c r="BL3" s="134"/>
      <c r="BM3" s="134"/>
      <c r="BN3" s="136"/>
      <c r="BO3" s="3"/>
      <c r="BP3" s="4"/>
      <c r="BQ3" s="4"/>
      <c r="BR3" s="4"/>
      <c r="BT3" s="86"/>
    </row>
    <row r="4" spans="1:80" s="5" customFormat="1" ht="39.950000000000003" customHeight="1" thickBot="1" x14ac:dyDescent="0.2">
      <c r="A4" s="105"/>
      <c r="B4" s="106"/>
      <c r="C4" s="106"/>
      <c r="D4" s="106"/>
      <c r="E4" s="198" t="s">
        <v>36</v>
      </c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8"/>
      <c r="R4" s="200" t="s">
        <v>37</v>
      </c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2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9"/>
      <c r="BG4" s="135"/>
      <c r="BH4" s="135"/>
      <c r="BI4" s="135"/>
      <c r="BJ4" s="135"/>
      <c r="BK4" s="135"/>
      <c r="BL4" s="135"/>
      <c r="BM4" s="135"/>
      <c r="BN4" s="137"/>
      <c r="BO4" s="3"/>
      <c r="BP4" s="4"/>
      <c r="BQ4" s="4"/>
      <c r="BR4" s="4"/>
      <c r="BT4" s="86"/>
    </row>
    <row r="5" spans="1:80" s="10" customFormat="1" ht="21.75" customHeight="1" thickBot="1" x14ac:dyDescent="0.2">
      <c r="A5" s="144" t="s">
        <v>38</v>
      </c>
      <c r="B5" s="147" t="s">
        <v>39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40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41</v>
      </c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9"/>
      <c r="AS5" s="147" t="s">
        <v>42</v>
      </c>
      <c r="AT5" s="148"/>
      <c r="AU5" s="148"/>
      <c r="AV5" s="149"/>
      <c r="AW5" s="166"/>
      <c r="AX5" s="166"/>
      <c r="AY5" s="166"/>
      <c r="AZ5" s="166"/>
      <c r="BA5" s="166"/>
      <c r="BB5" s="166"/>
      <c r="BC5" s="166"/>
      <c r="BD5" s="167"/>
      <c r="BE5" s="168" t="s">
        <v>43</v>
      </c>
      <c r="BF5" s="169"/>
      <c r="BG5" s="169"/>
      <c r="BH5" s="169"/>
      <c r="BI5" s="169"/>
      <c r="BJ5" s="169"/>
      <c r="BK5" s="169"/>
      <c r="BL5" s="169"/>
      <c r="BM5" s="169"/>
      <c r="BN5" s="170"/>
      <c r="BO5" s="171" t="s">
        <v>44</v>
      </c>
      <c r="BP5" s="172"/>
      <c r="BQ5" s="172"/>
      <c r="BR5" s="173"/>
      <c r="BS5" s="205" t="s">
        <v>45</v>
      </c>
      <c r="BT5" s="87"/>
    </row>
    <row r="6" spans="1:80" s="11" customFormat="1" ht="21.75" customHeight="1" x14ac:dyDescent="0.15">
      <c r="A6" s="145"/>
      <c r="B6" s="150" t="s">
        <v>46</v>
      </c>
      <c r="C6" s="151"/>
      <c r="D6" s="151"/>
      <c r="E6" s="151" t="s">
        <v>47</v>
      </c>
      <c r="F6" s="153" t="s">
        <v>48</v>
      </c>
      <c r="G6" s="151" t="s">
        <v>49</v>
      </c>
      <c r="H6" s="159" t="s">
        <v>50</v>
      </c>
      <c r="I6" s="159"/>
      <c r="J6" s="159" t="s">
        <v>51</v>
      </c>
      <c r="K6" s="159"/>
      <c r="L6" s="160" t="s">
        <v>52</v>
      </c>
      <c r="M6" s="160"/>
      <c r="N6" s="160"/>
      <c r="O6" s="161"/>
      <c r="P6" s="150" t="s">
        <v>53</v>
      </c>
      <c r="Q6" s="151"/>
      <c r="R6" s="151"/>
      <c r="S6" s="151" t="s">
        <v>47</v>
      </c>
      <c r="T6" s="153" t="s">
        <v>48</v>
      </c>
      <c r="U6" s="151" t="s">
        <v>49</v>
      </c>
      <c r="V6" s="159" t="s">
        <v>50</v>
      </c>
      <c r="W6" s="159"/>
      <c r="X6" s="159" t="s">
        <v>51</v>
      </c>
      <c r="Y6" s="159"/>
      <c r="Z6" s="160" t="s">
        <v>52</v>
      </c>
      <c r="AA6" s="160"/>
      <c r="AB6" s="160"/>
      <c r="AC6" s="161"/>
      <c r="AD6" s="150" t="s">
        <v>54</v>
      </c>
      <c r="AE6" s="151"/>
      <c r="AF6" s="151"/>
      <c r="AG6" s="162" t="s">
        <v>55</v>
      </c>
      <c r="AH6" s="203"/>
      <c r="AI6" s="204"/>
      <c r="AJ6" s="151" t="s">
        <v>49</v>
      </c>
      <c r="AK6" s="159" t="s">
        <v>50</v>
      </c>
      <c r="AL6" s="159"/>
      <c r="AM6" s="159" t="s">
        <v>51</v>
      </c>
      <c r="AN6" s="159"/>
      <c r="AO6" s="160" t="s">
        <v>52</v>
      </c>
      <c r="AP6" s="160"/>
      <c r="AQ6" s="160"/>
      <c r="AR6" s="161"/>
      <c r="AS6" s="150" t="s">
        <v>56</v>
      </c>
      <c r="AT6" s="151"/>
      <c r="AU6" s="151"/>
      <c r="AV6" s="177" t="s">
        <v>49</v>
      </c>
      <c r="AW6" s="158" t="s">
        <v>50</v>
      </c>
      <c r="AX6" s="159"/>
      <c r="AY6" s="159" t="s">
        <v>51</v>
      </c>
      <c r="AZ6" s="159"/>
      <c r="BA6" s="160" t="s">
        <v>52</v>
      </c>
      <c r="BB6" s="160"/>
      <c r="BC6" s="160"/>
      <c r="BD6" s="161"/>
      <c r="BE6" s="150" t="s">
        <v>57</v>
      </c>
      <c r="BF6" s="151"/>
      <c r="BG6" s="151"/>
      <c r="BH6" s="151" t="s">
        <v>47</v>
      </c>
      <c r="BI6" s="151" t="s">
        <v>48</v>
      </c>
      <c r="BJ6" s="162" t="s">
        <v>49</v>
      </c>
      <c r="BK6" s="164" t="s">
        <v>50</v>
      </c>
      <c r="BL6" s="165"/>
      <c r="BM6" s="164" t="s">
        <v>51</v>
      </c>
      <c r="BN6" s="165"/>
      <c r="BO6" s="174" t="s">
        <v>52</v>
      </c>
      <c r="BP6" s="175"/>
      <c r="BQ6" s="175"/>
      <c r="BR6" s="176"/>
      <c r="BS6" s="156"/>
      <c r="BT6" s="88" t="s">
        <v>58</v>
      </c>
    </row>
    <row r="7" spans="1:80" s="25" customFormat="1" ht="21" customHeight="1" thickBot="1" x14ac:dyDescent="0.2">
      <c r="A7" s="146"/>
      <c r="B7" s="12" t="s">
        <v>59</v>
      </c>
      <c r="C7" s="13" t="s">
        <v>60</v>
      </c>
      <c r="D7" s="14" t="s">
        <v>61</v>
      </c>
      <c r="E7" s="152"/>
      <c r="F7" s="154"/>
      <c r="G7" s="152"/>
      <c r="H7" s="15" t="s">
        <v>62</v>
      </c>
      <c r="I7" s="15" t="s">
        <v>63</v>
      </c>
      <c r="J7" s="15" t="s">
        <v>62</v>
      </c>
      <c r="K7" s="15" t="s">
        <v>63</v>
      </c>
      <c r="L7" s="16" t="s">
        <v>64</v>
      </c>
      <c r="M7" s="16" t="s">
        <v>65</v>
      </c>
      <c r="N7" s="16" t="s">
        <v>66</v>
      </c>
      <c r="O7" s="17" t="s">
        <v>49</v>
      </c>
      <c r="P7" s="12" t="s">
        <v>59</v>
      </c>
      <c r="Q7" s="13" t="s">
        <v>60</v>
      </c>
      <c r="R7" s="14" t="s">
        <v>61</v>
      </c>
      <c r="S7" s="152"/>
      <c r="T7" s="154"/>
      <c r="U7" s="152"/>
      <c r="V7" s="15" t="s">
        <v>62</v>
      </c>
      <c r="W7" s="15" t="s">
        <v>63</v>
      </c>
      <c r="X7" s="15" t="s">
        <v>62</v>
      </c>
      <c r="Y7" s="15" t="s">
        <v>63</v>
      </c>
      <c r="Z7" s="16" t="s">
        <v>64</v>
      </c>
      <c r="AA7" s="16" t="s">
        <v>65</v>
      </c>
      <c r="AB7" s="16" t="s">
        <v>66</v>
      </c>
      <c r="AC7" s="17" t="s">
        <v>49</v>
      </c>
      <c r="AD7" s="12" t="s">
        <v>59</v>
      </c>
      <c r="AE7" s="13" t="s">
        <v>60</v>
      </c>
      <c r="AF7" s="14" t="s">
        <v>61</v>
      </c>
      <c r="AG7" s="18" t="s">
        <v>47</v>
      </c>
      <c r="AH7" s="18" t="s">
        <v>60</v>
      </c>
      <c r="AI7" s="18" t="s">
        <v>61</v>
      </c>
      <c r="AJ7" s="152"/>
      <c r="AK7" s="15" t="s">
        <v>62</v>
      </c>
      <c r="AL7" s="15" t="s">
        <v>63</v>
      </c>
      <c r="AM7" s="15" t="s">
        <v>62</v>
      </c>
      <c r="AN7" s="15" t="s">
        <v>63</v>
      </c>
      <c r="AO7" s="16" t="s">
        <v>64</v>
      </c>
      <c r="AP7" s="16" t="s">
        <v>65</v>
      </c>
      <c r="AQ7" s="16" t="s">
        <v>66</v>
      </c>
      <c r="AR7" s="17" t="s">
        <v>49</v>
      </c>
      <c r="AS7" s="12" t="s">
        <v>59</v>
      </c>
      <c r="AT7" s="13" t="s">
        <v>60</v>
      </c>
      <c r="AU7" s="14" t="s">
        <v>61</v>
      </c>
      <c r="AV7" s="178"/>
      <c r="AW7" s="19" t="s">
        <v>62</v>
      </c>
      <c r="AX7" s="15" t="s">
        <v>63</v>
      </c>
      <c r="AY7" s="15" t="s">
        <v>62</v>
      </c>
      <c r="AZ7" s="15" t="s">
        <v>63</v>
      </c>
      <c r="BA7" s="16" t="s">
        <v>64</v>
      </c>
      <c r="BB7" s="16" t="s">
        <v>65</v>
      </c>
      <c r="BC7" s="16" t="s">
        <v>66</v>
      </c>
      <c r="BD7" s="17" t="s">
        <v>49</v>
      </c>
      <c r="BE7" s="12" t="s">
        <v>59</v>
      </c>
      <c r="BF7" s="13" t="s">
        <v>60</v>
      </c>
      <c r="BG7" s="14" t="s">
        <v>61</v>
      </c>
      <c r="BH7" s="152"/>
      <c r="BI7" s="152"/>
      <c r="BJ7" s="163"/>
      <c r="BK7" s="20" t="s">
        <v>62</v>
      </c>
      <c r="BL7" s="21" t="s">
        <v>63</v>
      </c>
      <c r="BM7" s="20" t="s">
        <v>62</v>
      </c>
      <c r="BN7" s="21" t="s">
        <v>63</v>
      </c>
      <c r="BO7" s="22" t="s">
        <v>64</v>
      </c>
      <c r="BP7" s="23" t="s">
        <v>65</v>
      </c>
      <c r="BQ7" s="23" t="s">
        <v>66</v>
      </c>
      <c r="BR7" s="24" t="s">
        <v>49</v>
      </c>
      <c r="BS7" s="157"/>
      <c r="BT7" s="89" t="s">
        <v>67</v>
      </c>
    </row>
    <row r="8" spans="1:80" s="52" customFormat="1" ht="35.1" customHeight="1" x14ac:dyDescent="0.15">
      <c r="A8" s="53" t="s">
        <v>68</v>
      </c>
      <c r="B8" s="27">
        <v>2231608</v>
      </c>
      <c r="C8" s="28">
        <v>3420000</v>
      </c>
      <c r="D8" s="29">
        <v>0.6525169590643275</v>
      </c>
      <c r="E8" s="30">
        <v>2576051</v>
      </c>
      <c r="F8" s="31">
        <v>2623309</v>
      </c>
      <c r="G8" s="32">
        <v>7430968</v>
      </c>
      <c r="H8" s="33">
        <v>0</v>
      </c>
      <c r="I8" s="34">
        <v>0</v>
      </c>
      <c r="J8" s="35">
        <v>32102</v>
      </c>
      <c r="K8" s="36">
        <v>0</v>
      </c>
      <c r="L8" s="37">
        <v>1795760</v>
      </c>
      <c r="M8" s="38">
        <v>435848</v>
      </c>
      <c r="N8" s="38">
        <v>0</v>
      </c>
      <c r="O8" s="39">
        <v>2231608</v>
      </c>
      <c r="P8" s="40">
        <v>1353060</v>
      </c>
      <c r="Q8" s="28">
        <v>1800000</v>
      </c>
      <c r="R8" s="29">
        <v>0.75170000000000003</v>
      </c>
      <c r="S8" s="30">
        <v>730142</v>
      </c>
      <c r="T8" s="31">
        <v>612312</v>
      </c>
      <c r="U8" s="32">
        <v>2695514</v>
      </c>
      <c r="V8" s="33">
        <v>0</v>
      </c>
      <c r="W8" s="34">
        <v>0</v>
      </c>
      <c r="X8" s="35">
        <v>0</v>
      </c>
      <c r="Y8" s="36">
        <v>67371</v>
      </c>
      <c r="Z8" s="37">
        <v>898862</v>
      </c>
      <c r="AA8" s="38">
        <v>310886</v>
      </c>
      <c r="AB8" s="38">
        <v>143312</v>
      </c>
      <c r="AC8" s="39">
        <v>1353060</v>
      </c>
      <c r="AD8" s="40">
        <v>15606</v>
      </c>
      <c r="AE8" s="28">
        <v>0</v>
      </c>
      <c r="AF8" s="41" t="e">
        <v>#DIV/0!</v>
      </c>
      <c r="AG8" s="30">
        <v>135950</v>
      </c>
      <c r="AH8" s="28">
        <v>374400</v>
      </c>
      <c r="AI8" s="41">
        <v>0.36311431623931623</v>
      </c>
      <c r="AJ8" s="42">
        <v>151556</v>
      </c>
      <c r="AK8" s="35">
        <v>0</v>
      </c>
      <c r="AL8" s="43">
        <v>0</v>
      </c>
      <c r="AM8" s="35">
        <v>0</v>
      </c>
      <c r="AN8" s="43">
        <v>0</v>
      </c>
      <c r="AO8" s="44">
        <v>3548</v>
      </c>
      <c r="AP8" s="38">
        <v>12058</v>
      </c>
      <c r="AQ8" s="38">
        <v>0</v>
      </c>
      <c r="AR8" s="39">
        <v>15606</v>
      </c>
      <c r="AS8" s="45">
        <v>3590513</v>
      </c>
      <c r="AT8" s="28">
        <v>2354400</v>
      </c>
      <c r="AU8" s="41">
        <v>1.5250225110431532</v>
      </c>
      <c r="AV8" s="32">
        <v>3590513</v>
      </c>
      <c r="AW8" s="35">
        <v>0</v>
      </c>
      <c r="AX8" s="43">
        <v>0</v>
      </c>
      <c r="AY8" s="35">
        <v>20913</v>
      </c>
      <c r="AZ8" s="43">
        <v>0</v>
      </c>
      <c r="BA8" s="44">
        <v>3228380</v>
      </c>
      <c r="BB8" s="38">
        <v>339216</v>
      </c>
      <c r="BC8" s="38">
        <v>22917</v>
      </c>
      <c r="BD8" s="39">
        <v>3590513</v>
      </c>
      <c r="BE8" s="40">
        <v>7190787</v>
      </c>
      <c r="BF8" s="28">
        <v>7574400</v>
      </c>
      <c r="BG8" s="41">
        <v>0.94935400823827631</v>
      </c>
      <c r="BH8" s="30">
        <v>3442143</v>
      </c>
      <c r="BI8" s="30">
        <v>3235621</v>
      </c>
      <c r="BJ8" s="42">
        <v>13868551</v>
      </c>
      <c r="BK8" s="33">
        <v>0</v>
      </c>
      <c r="BL8" s="46">
        <v>0</v>
      </c>
      <c r="BM8" s="33">
        <v>53015</v>
      </c>
      <c r="BN8" s="47">
        <v>67371</v>
      </c>
      <c r="BO8" s="48">
        <v>5926550</v>
      </c>
      <c r="BP8" s="49">
        <v>1098008</v>
      </c>
      <c r="BQ8" s="49">
        <v>166229</v>
      </c>
      <c r="BR8" s="50">
        <v>7190787</v>
      </c>
      <c r="BS8" s="51"/>
      <c r="BT8" s="90"/>
      <c r="BX8" s="91">
        <f>SUM(B8+P8+AD8+AS8)</f>
        <v>7190787</v>
      </c>
      <c r="BY8" s="91">
        <f>BX8-BE8</f>
        <v>0</v>
      </c>
    </row>
    <row r="9" spans="1:80" s="52" customFormat="1" ht="35.1" customHeight="1" x14ac:dyDescent="0.15">
      <c r="A9" s="53" t="s">
        <v>69</v>
      </c>
      <c r="B9" s="27">
        <v>2711081</v>
      </c>
      <c r="C9" s="28">
        <v>3800000</v>
      </c>
      <c r="D9" s="29">
        <v>0.71344236842105269</v>
      </c>
      <c r="E9" s="30">
        <v>2907556</v>
      </c>
      <c r="F9" s="31">
        <v>3484534</v>
      </c>
      <c r="G9" s="32">
        <v>9103171</v>
      </c>
      <c r="H9" s="33">
        <v>0</v>
      </c>
      <c r="I9" s="34">
        <v>0</v>
      </c>
      <c r="J9" s="35">
        <v>20090</v>
      </c>
      <c r="K9" s="36">
        <v>49892</v>
      </c>
      <c r="L9" s="37">
        <v>2171588</v>
      </c>
      <c r="M9" s="38">
        <v>488163</v>
      </c>
      <c r="N9" s="38">
        <v>51330</v>
      </c>
      <c r="O9" s="39">
        <v>2711081</v>
      </c>
      <c r="P9" s="40">
        <v>1357541</v>
      </c>
      <c r="Q9" s="28">
        <v>2000000</v>
      </c>
      <c r="R9" s="29">
        <v>0.67877050000000005</v>
      </c>
      <c r="S9" s="30">
        <v>720157</v>
      </c>
      <c r="T9" s="31">
        <v>416100</v>
      </c>
      <c r="U9" s="32">
        <v>2493798</v>
      </c>
      <c r="V9" s="33">
        <v>0</v>
      </c>
      <c r="W9" s="34">
        <v>0</v>
      </c>
      <c r="X9" s="35">
        <v>1264</v>
      </c>
      <c r="Y9" s="36">
        <v>20630</v>
      </c>
      <c r="Z9" s="37">
        <v>831867</v>
      </c>
      <c r="AA9" s="38">
        <v>374754</v>
      </c>
      <c r="AB9" s="38">
        <v>150920</v>
      </c>
      <c r="AC9" s="39">
        <v>1357541</v>
      </c>
      <c r="AD9" s="40">
        <v>9126</v>
      </c>
      <c r="AE9" s="28">
        <v>0</v>
      </c>
      <c r="AF9" s="41" t="e">
        <v>#DIV/0!</v>
      </c>
      <c r="AG9" s="30">
        <v>164380</v>
      </c>
      <c r="AH9" s="28">
        <v>416000</v>
      </c>
      <c r="AI9" s="41">
        <v>0.39514423076923078</v>
      </c>
      <c r="AJ9" s="42">
        <v>173506</v>
      </c>
      <c r="AK9" s="35">
        <v>0</v>
      </c>
      <c r="AL9" s="43">
        <v>0</v>
      </c>
      <c r="AM9" s="35">
        <v>4320</v>
      </c>
      <c r="AN9" s="43">
        <v>11918</v>
      </c>
      <c r="AO9" s="44">
        <v>3231</v>
      </c>
      <c r="AP9" s="38">
        <v>5895</v>
      </c>
      <c r="AQ9" s="38">
        <v>0</v>
      </c>
      <c r="AR9" s="39">
        <v>9126</v>
      </c>
      <c r="AS9" s="45">
        <v>3794984</v>
      </c>
      <c r="AT9" s="28">
        <v>2616000</v>
      </c>
      <c r="AU9" s="41">
        <v>1.4506819571865444</v>
      </c>
      <c r="AV9" s="32">
        <v>3794984</v>
      </c>
      <c r="AW9" s="35">
        <v>0</v>
      </c>
      <c r="AX9" s="43">
        <v>0</v>
      </c>
      <c r="AY9" s="35">
        <v>54601</v>
      </c>
      <c r="AZ9" s="43">
        <v>26630</v>
      </c>
      <c r="BA9" s="44">
        <v>3309135</v>
      </c>
      <c r="BB9" s="38">
        <v>460847</v>
      </c>
      <c r="BC9" s="38">
        <v>25002</v>
      </c>
      <c r="BD9" s="39">
        <v>3794984</v>
      </c>
      <c r="BE9" s="40">
        <v>7872732</v>
      </c>
      <c r="BF9" s="28">
        <v>8416000</v>
      </c>
      <c r="BG9" s="41">
        <v>0.93544819391634981</v>
      </c>
      <c r="BH9" s="30">
        <v>3792093</v>
      </c>
      <c r="BI9" s="30">
        <v>3900634</v>
      </c>
      <c r="BJ9" s="42">
        <v>15565459</v>
      </c>
      <c r="BK9" s="33">
        <v>0</v>
      </c>
      <c r="BL9" s="46">
        <v>0</v>
      </c>
      <c r="BM9" s="33">
        <v>80275</v>
      </c>
      <c r="BN9" s="47">
        <v>109070</v>
      </c>
      <c r="BO9" s="48">
        <v>6315821</v>
      </c>
      <c r="BP9" s="49">
        <v>1329659</v>
      </c>
      <c r="BQ9" s="49">
        <v>227252</v>
      </c>
      <c r="BR9" s="50">
        <v>7872732</v>
      </c>
      <c r="BS9" s="51">
        <v>0</v>
      </c>
      <c r="BT9" s="90"/>
      <c r="BX9" s="91">
        <f t="shared" ref="BX9:BX18" si="0">SUM(B9+P9+AD9+AS9)</f>
        <v>7872732</v>
      </c>
      <c r="BY9" s="91">
        <f t="shared" ref="BY9:BY20" si="1">BX9-BE9</f>
        <v>0</v>
      </c>
    </row>
    <row r="10" spans="1:80" s="52" customFormat="1" ht="35.1" customHeight="1" x14ac:dyDescent="0.15">
      <c r="A10" s="53" t="s">
        <v>70</v>
      </c>
      <c r="B10" s="27">
        <v>2641336</v>
      </c>
      <c r="C10" s="28">
        <v>3800000</v>
      </c>
      <c r="D10" s="29">
        <v>0.69508842105263158</v>
      </c>
      <c r="E10" s="30">
        <v>2881191</v>
      </c>
      <c r="F10" s="31">
        <v>3175864</v>
      </c>
      <c r="G10" s="32">
        <v>8698391</v>
      </c>
      <c r="H10" s="33">
        <v>0</v>
      </c>
      <c r="I10" s="34">
        <v>0</v>
      </c>
      <c r="J10" s="35">
        <v>28520</v>
      </c>
      <c r="K10" s="36">
        <v>32161</v>
      </c>
      <c r="L10" s="37">
        <v>2153907</v>
      </c>
      <c r="M10" s="38">
        <v>423537</v>
      </c>
      <c r="N10" s="38">
        <v>63892</v>
      </c>
      <c r="O10" s="39">
        <v>2641336</v>
      </c>
      <c r="P10" s="40">
        <v>1338174</v>
      </c>
      <c r="Q10" s="28">
        <v>2000000</v>
      </c>
      <c r="R10" s="29">
        <v>0.66908699999999999</v>
      </c>
      <c r="S10" s="30">
        <v>507900</v>
      </c>
      <c r="T10" s="31">
        <v>558850</v>
      </c>
      <c r="U10" s="32">
        <v>2404924</v>
      </c>
      <c r="V10" s="33">
        <v>0</v>
      </c>
      <c r="W10" s="34">
        <v>0</v>
      </c>
      <c r="X10" s="35">
        <v>27783</v>
      </c>
      <c r="Y10" s="36">
        <v>44206</v>
      </c>
      <c r="Z10" s="37">
        <v>692936</v>
      </c>
      <c r="AA10" s="38">
        <v>564837</v>
      </c>
      <c r="AB10" s="38">
        <v>80401</v>
      </c>
      <c r="AC10" s="39">
        <v>1338174</v>
      </c>
      <c r="AD10" s="40">
        <v>19508</v>
      </c>
      <c r="AE10" s="28">
        <v>0</v>
      </c>
      <c r="AF10" s="41" t="e">
        <v>#DIV/0!</v>
      </c>
      <c r="AG10" s="30">
        <v>123474</v>
      </c>
      <c r="AH10" s="28">
        <v>416000</v>
      </c>
      <c r="AI10" s="41">
        <v>0.29681249999999998</v>
      </c>
      <c r="AJ10" s="42">
        <v>142982</v>
      </c>
      <c r="AK10" s="35">
        <v>0</v>
      </c>
      <c r="AL10" s="43">
        <v>0</v>
      </c>
      <c r="AM10" s="35">
        <v>2902</v>
      </c>
      <c r="AN10" s="43">
        <v>0</v>
      </c>
      <c r="AO10" s="44">
        <v>19508</v>
      </c>
      <c r="AP10" s="38">
        <v>0</v>
      </c>
      <c r="AQ10" s="38">
        <v>0</v>
      </c>
      <c r="AR10" s="39">
        <v>19508</v>
      </c>
      <c r="AS10" s="45">
        <v>3442532</v>
      </c>
      <c r="AT10" s="28">
        <v>2600000</v>
      </c>
      <c r="AU10" s="41">
        <v>1.3240507692307693</v>
      </c>
      <c r="AV10" s="32">
        <v>3442532</v>
      </c>
      <c r="AW10" s="35">
        <v>0</v>
      </c>
      <c r="AX10" s="43">
        <v>0</v>
      </c>
      <c r="AY10" s="35">
        <v>146268</v>
      </c>
      <c r="AZ10" s="43">
        <v>29424</v>
      </c>
      <c r="BA10" s="44">
        <v>3070498</v>
      </c>
      <c r="BB10" s="38">
        <v>234315</v>
      </c>
      <c r="BC10" s="38">
        <v>137719</v>
      </c>
      <c r="BD10" s="39">
        <v>3442532</v>
      </c>
      <c r="BE10" s="40">
        <v>7441550</v>
      </c>
      <c r="BF10" s="28">
        <v>8400000</v>
      </c>
      <c r="BG10" s="41">
        <v>0.88589880952380951</v>
      </c>
      <c r="BH10" s="30">
        <v>3512565</v>
      </c>
      <c r="BI10" s="30">
        <v>3734714</v>
      </c>
      <c r="BJ10" s="42">
        <v>14688829</v>
      </c>
      <c r="BK10" s="33">
        <v>0</v>
      </c>
      <c r="BL10" s="46">
        <v>0</v>
      </c>
      <c r="BM10" s="33">
        <v>205473</v>
      </c>
      <c r="BN10" s="47">
        <v>105791</v>
      </c>
      <c r="BO10" s="48">
        <v>5936849</v>
      </c>
      <c r="BP10" s="49">
        <v>1222689</v>
      </c>
      <c r="BQ10" s="49">
        <v>282012</v>
      </c>
      <c r="BR10" s="50">
        <v>7441550</v>
      </c>
      <c r="BS10" s="51"/>
      <c r="BT10" s="90"/>
      <c r="BX10" s="91">
        <f t="shared" si="0"/>
        <v>7441550</v>
      </c>
      <c r="BY10" s="91">
        <f t="shared" si="1"/>
        <v>0</v>
      </c>
      <c r="CB10" s="92">
        <v>402639</v>
      </c>
    </row>
    <row r="11" spans="1:80" s="52" customFormat="1" ht="35.1" customHeight="1" x14ac:dyDescent="0.15">
      <c r="A11" s="53" t="s">
        <v>71</v>
      </c>
      <c r="B11" s="27">
        <v>2270768</v>
      </c>
      <c r="C11" s="28">
        <v>4180000</v>
      </c>
      <c r="D11" s="29">
        <v>0.54324593301435409</v>
      </c>
      <c r="E11" s="30">
        <v>3147334</v>
      </c>
      <c r="F11" s="31">
        <v>5267705</v>
      </c>
      <c r="G11" s="32">
        <v>10685807</v>
      </c>
      <c r="H11" s="33">
        <v>0</v>
      </c>
      <c r="I11" s="34">
        <v>0</v>
      </c>
      <c r="J11" s="35">
        <v>68919</v>
      </c>
      <c r="K11" s="36">
        <v>57690</v>
      </c>
      <c r="L11" s="37">
        <v>1795813</v>
      </c>
      <c r="M11" s="38">
        <v>456829</v>
      </c>
      <c r="N11" s="38">
        <v>18126</v>
      </c>
      <c r="O11" s="39">
        <v>2270768</v>
      </c>
      <c r="P11" s="40">
        <v>1481040</v>
      </c>
      <c r="Q11" s="28">
        <v>2200000</v>
      </c>
      <c r="R11" s="29">
        <v>0.67320000000000002</v>
      </c>
      <c r="S11" s="30">
        <v>595838</v>
      </c>
      <c r="T11" s="31">
        <v>462713</v>
      </c>
      <c r="U11" s="32">
        <v>2539591</v>
      </c>
      <c r="V11" s="33">
        <v>0</v>
      </c>
      <c r="W11" s="34">
        <v>0</v>
      </c>
      <c r="X11" s="35">
        <v>0</v>
      </c>
      <c r="Y11" s="36">
        <v>68285</v>
      </c>
      <c r="Z11" s="37">
        <v>720253</v>
      </c>
      <c r="AA11" s="38">
        <v>623493</v>
      </c>
      <c r="AB11" s="38">
        <v>137294</v>
      </c>
      <c r="AC11" s="39">
        <v>1481040</v>
      </c>
      <c r="AD11" s="40">
        <v>14868</v>
      </c>
      <c r="AE11" s="28">
        <v>0</v>
      </c>
      <c r="AF11" s="41" t="e">
        <v>#DIV/0!</v>
      </c>
      <c r="AG11" s="30">
        <v>6081</v>
      </c>
      <c r="AH11" s="28">
        <v>457600</v>
      </c>
      <c r="AI11" s="41">
        <v>1.3288898601398601E-2</v>
      </c>
      <c r="AJ11" s="42">
        <v>20949</v>
      </c>
      <c r="AK11" s="35">
        <v>0</v>
      </c>
      <c r="AL11" s="43">
        <v>0</v>
      </c>
      <c r="AM11" s="35">
        <v>0</v>
      </c>
      <c r="AN11" s="43">
        <v>2644</v>
      </c>
      <c r="AO11" s="44">
        <v>14868</v>
      </c>
      <c r="AP11" s="38">
        <v>0</v>
      </c>
      <c r="AQ11" s="38">
        <v>0</v>
      </c>
      <c r="AR11" s="39">
        <v>14868</v>
      </c>
      <c r="AS11" s="45">
        <v>3738281</v>
      </c>
      <c r="AT11" s="28">
        <v>2860000</v>
      </c>
      <c r="AU11" s="41">
        <v>1.3070912587412586</v>
      </c>
      <c r="AV11" s="32">
        <v>3738281</v>
      </c>
      <c r="AW11" s="35">
        <v>0</v>
      </c>
      <c r="AX11" s="43">
        <v>0</v>
      </c>
      <c r="AY11" s="35">
        <v>41818</v>
      </c>
      <c r="AZ11" s="43">
        <v>0</v>
      </c>
      <c r="BA11" s="44">
        <v>3226866</v>
      </c>
      <c r="BB11" s="38">
        <v>361347</v>
      </c>
      <c r="BC11" s="38">
        <v>150068</v>
      </c>
      <c r="BD11" s="39">
        <v>3738281</v>
      </c>
      <c r="BE11" s="40">
        <v>7504957</v>
      </c>
      <c r="BF11" s="28">
        <v>9240000</v>
      </c>
      <c r="BG11" s="41">
        <v>0.81222478354978356</v>
      </c>
      <c r="BH11" s="30">
        <v>3749253</v>
      </c>
      <c r="BI11" s="30">
        <v>5730418</v>
      </c>
      <c r="BJ11" s="42">
        <v>16984628</v>
      </c>
      <c r="BK11" s="33">
        <v>0</v>
      </c>
      <c r="BL11" s="46">
        <v>0</v>
      </c>
      <c r="BM11" s="33">
        <v>110737</v>
      </c>
      <c r="BN11" s="47">
        <v>92817</v>
      </c>
      <c r="BO11" s="48">
        <v>5757800</v>
      </c>
      <c r="BP11" s="49">
        <v>1441669</v>
      </c>
      <c r="BQ11" s="49">
        <v>305488</v>
      </c>
      <c r="BR11" s="50">
        <v>7504957</v>
      </c>
      <c r="BS11" s="51"/>
      <c r="BT11" s="90"/>
      <c r="BX11" s="91">
        <f t="shared" si="0"/>
        <v>7504957</v>
      </c>
      <c r="BY11" s="91">
        <f t="shared" si="1"/>
        <v>0</v>
      </c>
      <c r="CB11" s="92">
        <v>287124</v>
      </c>
    </row>
    <row r="12" spans="1:80" s="52" customFormat="1" ht="35.1" customHeight="1" x14ac:dyDescent="0.15">
      <c r="A12" s="53" t="s">
        <v>72</v>
      </c>
      <c r="B12" s="27">
        <v>2152272</v>
      </c>
      <c r="C12" s="28">
        <v>3420000</v>
      </c>
      <c r="D12" s="29">
        <v>0.62931929824561406</v>
      </c>
      <c r="E12" s="30">
        <v>3672205</v>
      </c>
      <c r="F12" s="31">
        <v>5329716</v>
      </c>
      <c r="G12" s="32">
        <v>11154193</v>
      </c>
      <c r="H12" s="33">
        <v>0</v>
      </c>
      <c r="I12" s="34">
        <v>0</v>
      </c>
      <c r="J12" s="35">
        <v>168365</v>
      </c>
      <c r="K12" s="36">
        <v>98889</v>
      </c>
      <c r="L12" s="37">
        <v>1783327</v>
      </c>
      <c r="M12" s="38">
        <v>368945</v>
      </c>
      <c r="N12" s="38">
        <v>0</v>
      </c>
      <c r="O12" s="39">
        <v>2152272</v>
      </c>
      <c r="P12" s="40">
        <v>968521</v>
      </c>
      <c r="Q12" s="28">
        <v>1800000</v>
      </c>
      <c r="R12" s="29">
        <v>0.53806722222222225</v>
      </c>
      <c r="S12" s="30">
        <v>834821</v>
      </c>
      <c r="T12" s="31">
        <v>616950</v>
      </c>
      <c r="U12" s="32">
        <v>2420292</v>
      </c>
      <c r="V12" s="33">
        <v>0</v>
      </c>
      <c r="W12" s="34">
        <v>0</v>
      </c>
      <c r="X12" s="35">
        <v>1260</v>
      </c>
      <c r="Y12" s="36">
        <v>23557</v>
      </c>
      <c r="Z12" s="37">
        <v>322995</v>
      </c>
      <c r="AA12" s="38">
        <v>641322</v>
      </c>
      <c r="AB12" s="38">
        <v>4204</v>
      </c>
      <c r="AC12" s="39">
        <v>968521</v>
      </c>
      <c r="AD12" s="40">
        <v>0</v>
      </c>
      <c r="AE12" s="28">
        <v>0</v>
      </c>
      <c r="AF12" s="41" t="e">
        <v>#DIV/0!</v>
      </c>
      <c r="AG12" s="30">
        <v>0</v>
      </c>
      <c r="AH12" s="28">
        <v>374400</v>
      </c>
      <c r="AI12" s="41">
        <v>0</v>
      </c>
      <c r="AJ12" s="42">
        <v>0</v>
      </c>
      <c r="AK12" s="35">
        <v>0</v>
      </c>
      <c r="AL12" s="43">
        <v>0</v>
      </c>
      <c r="AM12" s="35">
        <v>0</v>
      </c>
      <c r="AN12" s="43">
        <v>0</v>
      </c>
      <c r="AO12" s="44">
        <v>0</v>
      </c>
      <c r="AP12" s="38">
        <v>0</v>
      </c>
      <c r="AQ12" s="38">
        <v>0</v>
      </c>
      <c r="AR12" s="39">
        <v>0</v>
      </c>
      <c r="AS12" s="45">
        <v>4623144</v>
      </c>
      <c r="AT12" s="28">
        <v>2340000</v>
      </c>
      <c r="AU12" s="41">
        <v>1.9757025641025641</v>
      </c>
      <c r="AV12" s="32">
        <v>4623144</v>
      </c>
      <c r="AW12" s="35">
        <v>0</v>
      </c>
      <c r="AX12" s="43">
        <v>0</v>
      </c>
      <c r="AY12" s="35">
        <v>83965</v>
      </c>
      <c r="AZ12" s="43">
        <v>0</v>
      </c>
      <c r="BA12" s="44">
        <v>3835199</v>
      </c>
      <c r="BB12" s="38">
        <v>544460</v>
      </c>
      <c r="BC12" s="38">
        <v>100801</v>
      </c>
      <c r="BD12" s="39">
        <v>4480460</v>
      </c>
      <c r="BE12" s="40">
        <v>7743937</v>
      </c>
      <c r="BF12" s="28">
        <v>7560000</v>
      </c>
      <c r="BG12" s="41">
        <v>1.0243302910052909</v>
      </c>
      <c r="BH12" s="30">
        <v>4507026</v>
      </c>
      <c r="BI12" s="30">
        <v>5946666</v>
      </c>
      <c r="BJ12" s="42">
        <v>18197629</v>
      </c>
      <c r="BK12" s="33">
        <v>0</v>
      </c>
      <c r="BL12" s="46">
        <v>0</v>
      </c>
      <c r="BM12" s="33">
        <v>253590</v>
      </c>
      <c r="BN12" s="47">
        <v>122446</v>
      </c>
      <c r="BO12" s="48">
        <v>6084205</v>
      </c>
      <c r="BP12" s="49">
        <v>1554727</v>
      </c>
      <c r="BQ12" s="49">
        <v>105005</v>
      </c>
      <c r="BR12" s="50">
        <v>7743937</v>
      </c>
      <c r="BS12" s="51"/>
      <c r="BT12" s="90"/>
      <c r="BX12" s="91">
        <f t="shared" si="0"/>
        <v>7743937</v>
      </c>
      <c r="BY12" s="91">
        <f t="shared" si="1"/>
        <v>0</v>
      </c>
      <c r="CB12" s="92">
        <v>256859</v>
      </c>
    </row>
    <row r="13" spans="1:80" s="52" customFormat="1" ht="35.1" customHeight="1" x14ac:dyDescent="0.15">
      <c r="A13" s="53" t="s">
        <v>73</v>
      </c>
      <c r="B13" s="27">
        <v>3469933</v>
      </c>
      <c r="C13" s="28">
        <v>3610000</v>
      </c>
      <c r="D13" s="29">
        <v>0.96120027700831023</v>
      </c>
      <c r="E13" s="30">
        <v>230689</v>
      </c>
      <c r="F13" s="31">
        <v>1700870</v>
      </c>
      <c r="G13" s="32">
        <v>5401492</v>
      </c>
      <c r="H13" s="33">
        <v>0</v>
      </c>
      <c r="I13" s="34">
        <v>0</v>
      </c>
      <c r="J13" s="35">
        <v>118135</v>
      </c>
      <c r="K13" s="36">
        <v>22684</v>
      </c>
      <c r="L13" s="37">
        <v>3136901</v>
      </c>
      <c r="M13" s="38">
        <v>333032</v>
      </c>
      <c r="N13" s="38">
        <v>0</v>
      </c>
      <c r="O13" s="39">
        <v>3469933</v>
      </c>
      <c r="P13" s="40">
        <v>1749497</v>
      </c>
      <c r="Q13" s="28">
        <v>1900000</v>
      </c>
      <c r="R13" s="29">
        <v>0.92078789473684208</v>
      </c>
      <c r="S13" s="30">
        <v>185771</v>
      </c>
      <c r="T13" s="31">
        <v>655200</v>
      </c>
      <c r="U13" s="32">
        <v>2590468</v>
      </c>
      <c r="V13" s="33">
        <v>0</v>
      </c>
      <c r="W13" s="34">
        <v>0</v>
      </c>
      <c r="X13" s="35">
        <v>3256</v>
      </c>
      <c r="Y13" s="36">
        <v>4516</v>
      </c>
      <c r="Z13" s="37">
        <v>940512</v>
      </c>
      <c r="AA13" s="38">
        <v>737337</v>
      </c>
      <c r="AB13" s="38">
        <v>71648</v>
      </c>
      <c r="AC13" s="39">
        <v>1749497</v>
      </c>
      <c r="AD13" s="40">
        <v>0</v>
      </c>
      <c r="AE13" s="28">
        <v>0</v>
      </c>
      <c r="AF13" s="41" t="e">
        <v>#DIV/0!</v>
      </c>
      <c r="AG13" s="30">
        <v>0</v>
      </c>
      <c r="AH13" s="28">
        <v>395200</v>
      </c>
      <c r="AI13" s="41">
        <v>0</v>
      </c>
      <c r="AJ13" s="42">
        <v>0</v>
      </c>
      <c r="AK13" s="35">
        <v>0</v>
      </c>
      <c r="AL13" s="43">
        <v>0</v>
      </c>
      <c r="AM13" s="35">
        <v>0</v>
      </c>
      <c r="AN13" s="43">
        <v>0</v>
      </c>
      <c r="AO13" s="44">
        <v>0</v>
      </c>
      <c r="AP13" s="38">
        <v>0</v>
      </c>
      <c r="AQ13" s="38">
        <v>0</v>
      </c>
      <c r="AR13" s="39">
        <v>0</v>
      </c>
      <c r="AS13" s="45">
        <v>416380</v>
      </c>
      <c r="AT13" s="28">
        <v>512000</v>
      </c>
      <c r="AU13" s="41">
        <v>0.81324218749999999</v>
      </c>
      <c r="AV13" s="32">
        <v>416380</v>
      </c>
      <c r="AW13" s="35">
        <v>0</v>
      </c>
      <c r="AX13" s="43">
        <v>0</v>
      </c>
      <c r="AY13" s="35">
        <v>0</v>
      </c>
      <c r="AZ13" s="43">
        <v>16044</v>
      </c>
      <c r="BA13" s="44">
        <v>298931</v>
      </c>
      <c r="BB13" s="38">
        <v>50589</v>
      </c>
      <c r="BC13" s="38">
        <v>66860</v>
      </c>
      <c r="BD13" s="39">
        <v>416380</v>
      </c>
      <c r="BE13" s="40">
        <v>5635810</v>
      </c>
      <c r="BF13" s="28">
        <v>6022000</v>
      </c>
      <c r="BG13" s="41">
        <v>0.93587014280969782</v>
      </c>
      <c r="BH13" s="30">
        <v>416460</v>
      </c>
      <c r="BI13" s="30">
        <v>2356070</v>
      </c>
      <c r="BJ13" s="42">
        <v>8408340</v>
      </c>
      <c r="BK13" s="33">
        <v>0</v>
      </c>
      <c r="BL13" s="46">
        <v>0</v>
      </c>
      <c r="BM13" s="33">
        <v>121391</v>
      </c>
      <c r="BN13" s="47">
        <v>43244</v>
      </c>
      <c r="BO13" s="48">
        <v>4376344</v>
      </c>
      <c r="BP13" s="49">
        <v>1120958</v>
      </c>
      <c r="BQ13" s="49">
        <v>138508</v>
      </c>
      <c r="BR13" s="50">
        <v>5635810</v>
      </c>
      <c r="BS13" s="51"/>
      <c r="BT13" s="90"/>
      <c r="BX13" s="91">
        <f t="shared" si="0"/>
        <v>5635810</v>
      </c>
      <c r="BY13" s="91">
        <f t="shared" si="1"/>
        <v>0</v>
      </c>
      <c r="CB13" s="92">
        <v>325481</v>
      </c>
    </row>
    <row r="14" spans="1:80" s="52" customFormat="1" ht="35.1" customHeight="1" x14ac:dyDescent="0.15">
      <c r="A14" s="53" t="s">
        <v>74</v>
      </c>
      <c r="B14" s="27">
        <v>2966025</v>
      </c>
      <c r="C14" s="28">
        <v>4180000</v>
      </c>
      <c r="D14" s="29">
        <v>0.70957535885167466</v>
      </c>
      <c r="E14" s="30">
        <v>373409</v>
      </c>
      <c r="F14" s="31">
        <v>1066007</v>
      </c>
      <c r="G14" s="32">
        <v>4405441</v>
      </c>
      <c r="H14" s="33">
        <v>0</v>
      </c>
      <c r="I14" s="34">
        <v>0</v>
      </c>
      <c r="J14" s="35">
        <v>42551</v>
      </c>
      <c r="K14" s="36">
        <v>195819</v>
      </c>
      <c r="L14" s="37">
        <v>1916503</v>
      </c>
      <c r="M14" s="38">
        <v>1006942</v>
      </c>
      <c r="N14" s="38">
        <v>42580</v>
      </c>
      <c r="O14" s="39">
        <v>2966025</v>
      </c>
      <c r="P14" s="40">
        <v>1551212</v>
      </c>
      <c r="Q14" s="28">
        <v>2200000</v>
      </c>
      <c r="R14" s="29">
        <v>0.70509636363636363</v>
      </c>
      <c r="S14" s="30">
        <v>250028</v>
      </c>
      <c r="T14" s="31">
        <v>497328</v>
      </c>
      <c r="U14" s="32">
        <v>2298568</v>
      </c>
      <c r="V14" s="33">
        <v>0</v>
      </c>
      <c r="W14" s="34">
        <v>0</v>
      </c>
      <c r="X14" s="35">
        <v>3471</v>
      </c>
      <c r="Y14" s="36">
        <v>22279</v>
      </c>
      <c r="Z14" s="37">
        <v>851140</v>
      </c>
      <c r="AA14" s="38">
        <v>684546</v>
      </c>
      <c r="AB14" s="38">
        <v>15526</v>
      </c>
      <c r="AC14" s="39">
        <v>1551212</v>
      </c>
      <c r="AD14" s="40">
        <v>0</v>
      </c>
      <c r="AE14" s="28">
        <v>0</v>
      </c>
      <c r="AF14" s="41" t="e">
        <v>#DIV/0!</v>
      </c>
      <c r="AG14" s="30">
        <v>0</v>
      </c>
      <c r="AH14" s="28">
        <v>0</v>
      </c>
      <c r="AI14" s="41" t="e">
        <v>#DIV/0!</v>
      </c>
      <c r="AJ14" s="42">
        <v>0</v>
      </c>
      <c r="AK14" s="35">
        <v>0</v>
      </c>
      <c r="AL14" s="43">
        <v>0</v>
      </c>
      <c r="AM14" s="35">
        <v>0</v>
      </c>
      <c r="AN14" s="43">
        <v>0</v>
      </c>
      <c r="AO14" s="44">
        <v>0</v>
      </c>
      <c r="AP14" s="38">
        <v>0</v>
      </c>
      <c r="AQ14" s="38">
        <v>0</v>
      </c>
      <c r="AR14" s="39">
        <v>0</v>
      </c>
      <c r="AS14" s="45">
        <v>0</v>
      </c>
      <c r="AT14" s="28">
        <v>0</v>
      </c>
      <c r="AU14" s="41" t="e">
        <v>#DIV/0!</v>
      </c>
      <c r="AV14" s="32">
        <v>0</v>
      </c>
      <c r="AW14" s="35">
        <v>0</v>
      </c>
      <c r="AX14" s="43">
        <v>0</v>
      </c>
      <c r="AY14" s="35">
        <v>10458</v>
      </c>
      <c r="AZ14" s="43">
        <v>0</v>
      </c>
      <c r="BA14" s="44">
        <v>0</v>
      </c>
      <c r="BB14" s="38">
        <v>0</v>
      </c>
      <c r="BC14" s="38">
        <v>0</v>
      </c>
      <c r="BD14" s="39">
        <v>0</v>
      </c>
      <c r="BE14" s="40">
        <v>4517237</v>
      </c>
      <c r="BF14" s="28">
        <v>6380000</v>
      </c>
      <c r="BG14" s="41">
        <v>0.70803087774294671</v>
      </c>
      <c r="BH14" s="30">
        <v>623437</v>
      </c>
      <c r="BI14" s="30">
        <v>1563335</v>
      </c>
      <c r="BJ14" s="42">
        <v>6704009</v>
      </c>
      <c r="BK14" s="33">
        <v>0</v>
      </c>
      <c r="BL14" s="46">
        <v>0</v>
      </c>
      <c r="BM14" s="33">
        <v>56480</v>
      </c>
      <c r="BN14" s="47">
        <v>218098</v>
      </c>
      <c r="BO14" s="48">
        <v>2767643</v>
      </c>
      <c r="BP14" s="49">
        <v>1691488</v>
      </c>
      <c r="BQ14" s="49">
        <v>58106</v>
      </c>
      <c r="BR14" s="50">
        <v>4517237</v>
      </c>
      <c r="BS14" s="51"/>
      <c r="BT14" s="90"/>
      <c r="BX14" s="91">
        <f t="shared" si="0"/>
        <v>4517237</v>
      </c>
      <c r="BY14" s="91">
        <f t="shared" si="1"/>
        <v>0</v>
      </c>
      <c r="CB14" s="92">
        <v>277296</v>
      </c>
    </row>
    <row r="15" spans="1:80" s="52" customFormat="1" ht="35.1" customHeight="1" x14ac:dyDescent="0.15">
      <c r="A15" s="53" t="s">
        <v>75</v>
      </c>
      <c r="B15" s="27">
        <v>2392630</v>
      </c>
      <c r="C15" s="28">
        <v>3230000</v>
      </c>
      <c r="D15" s="29">
        <v>0.74075232198142416</v>
      </c>
      <c r="E15" s="30">
        <v>103076</v>
      </c>
      <c r="F15" s="31">
        <v>2253938</v>
      </c>
      <c r="G15" s="32">
        <v>4749644</v>
      </c>
      <c r="H15" s="33">
        <v>0</v>
      </c>
      <c r="I15" s="34">
        <v>0</v>
      </c>
      <c r="J15" s="35">
        <v>0</v>
      </c>
      <c r="K15" s="36">
        <v>113528</v>
      </c>
      <c r="L15" s="37">
        <v>1359082</v>
      </c>
      <c r="M15" s="38">
        <v>1033548</v>
      </c>
      <c r="N15" s="38">
        <v>0</v>
      </c>
      <c r="O15" s="39">
        <v>2392630</v>
      </c>
      <c r="P15" s="40">
        <v>1091201</v>
      </c>
      <c r="Q15" s="28">
        <v>1700000</v>
      </c>
      <c r="R15" s="29">
        <v>0.6418829411764706</v>
      </c>
      <c r="S15" s="30">
        <v>307768</v>
      </c>
      <c r="T15" s="31">
        <v>469715</v>
      </c>
      <c r="U15" s="32">
        <v>1868684</v>
      </c>
      <c r="V15" s="33">
        <v>0</v>
      </c>
      <c r="W15" s="34">
        <v>0</v>
      </c>
      <c r="X15" s="35">
        <v>0</v>
      </c>
      <c r="Y15" s="36">
        <v>0</v>
      </c>
      <c r="Z15" s="37">
        <v>899346</v>
      </c>
      <c r="AA15" s="38">
        <v>169543</v>
      </c>
      <c r="AB15" s="38">
        <v>22312</v>
      </c>
      <c r="AC15" s="39">
        <v>1091201</v>
      </c>
      <c r="AD15" s="40">
        <v>0</v>
      </c>
      <c r="AE15" s="28">
        <v>0</v>
      </c>
      <c r="AF15" s="41" t="e">
        <v>#DIV/0!</v>
      </c>
      <c r="AG15" s="30">
        <v>0</v>
      </c>
      <c r="AH15" s="28">
        <v>0</v>
      </c>
      <c r="AI15" s="41" t="e">
        <v>#DIV/0!</v>
      </c>
      <c r="AJ15" s="42">
        <v>0</v>
      </c>
      <c r="AK15" s="35">
        <v>0</v>
      </c>
      <c r="AL15" s="43">
        <v>0</v>
      </c>
      <c r="AM15" s="35">
        <v>0</v>
      </c>
      <c r="AN15" s="43">
        <v>0</v>
      </c>
      <c r="AO15" s="44">
        <v>0</v>
      </c>
      <c r="AP15" s="38">
        <v>0</v>
      </c>
      <c r="AQ15" s="38">
        <v>0</v>
      </c>
      <c r="AR15" s="39">
        <v>0</v>
      </c>
      <c r="AS15" s="45">
        <v>0</v>
      </c>
      <c r="AT15" s="28">
        <v>0</v>
      </c>
      <c r="AU15" s="41" t="e">
        <v>#DIV/0!</v>
      </c>
      <c r="AV15" s="32">
        <v>0</v>
      </c>
      <c r="AW15" s="35">
        <v>0</v>
      </c>
      <c r="AX15" s="43">
        <v>0</v>
      </c>
      <c r="AY15" s="35">
        <v>14893</v>
      </c>
      <c r="AZ15" s="43">
        <v>0</v>
      </c>
      <c r="BA15" s="44">
        <v>0</v>
      </c>
      <c r="BB15" s="38">
        <v>0</v>
      </c>
      <c r="BC15" s="38">
        <v>0</v>
      </c>
      <c r="BD15" s="39">
        <v>0</v>
      </c>
      <c r="BE15" s="40">
        <v>3483831</v>
      </c>
      <c r="BF15" s="28">
        <v>4930000</v>
      </c>
      <c r="BG15" s="41">
        <v>0.70665943204868154</v>
      </c>
      <c r="BH15" s="30">
        <v>410844</v>
      </c>
      <c r="BI15" s="30">
        <v>2723653</v>
      </c>
      <c r="BJ15" s="42">
        <v>6618328</v>
      </c>
      <c r="BK15" s="33">
        <v>0</v>
      </c>
      <c r="BL15" s="46">
        <v>0</v>
      </c>
      <c r="BM15" s="33">
        <v>14893</v>
      </c>
      <c r="BN15" s="47">
        <v>113528</v>
      </c>
      <c r="BO15" s="48">
        <v>2258428</v>
      </c>
      <c r="BP15" s="49">
        <v>1203091</v>
      </c>
      <c r="BQ15" s="49">
        <v>22312</v>
      </c>
      <c r="BR15" s="50">
        <v>3483831</v>
      </c>
      <c r="BS15" s="51"/>
      <c r="BT15" s="90"/>
      <c r="BX15" s="91">
        <f t="shared" si="0"/>
        <v>3483831</v>
      </c>
      <c r="BY15" s="91">
        <f t="shared" si="1"/>
        <v>0</v>
      </c>
      <c r="CB15" s="92">
        <v>156175</v>
      </c>
    </row>
    <row r="16" spans="1:80" s="52" customFormat="1" ht="35.1" customHeight="1" x14ac:dyDescent="0.15">
      <c r="A16" s="53" t="s">
        <v>76</v>
      </c>
      <c r="B16" s="27">
        <v>3166220</v>
      </c>
      <c r="C16" s="28">
        <v>4180000</v>
      </c>
      <c r="D16" s="29">
        <v>0.75746889952153107</v>
      </c>
      <c r="E16" s="30">
        <v>453477</v>
      </c>
      <c r="F16" s="31">
        <v>2928357</v>
      </c>
      <c r="G16" s="32">
        <v>6548054</v>
      </c>
      <c r="H16" s="33">
        <v>0</v>
      </c>
      <c r="I16" s="34">
        <v>0</v>
      </c>
      <c r="J16" s="35">
        <v>0</v>
      </c>
      <c r="K16" s="36">
        <v>109077</v>
      </c>
      <c r="L16" s="37">
        <v>1794912</v>
      </c>
      <c r="M16" s="38">
        <v>1329696</v>
      </c>
      <c r="N16" s="38">
        <v>41612</v>
      </c>
      <c r="O16" s="39">
        <v>3166220</v>
      </c>
      <c r="P16" s="40">
        <v>1254181</v>
      </c>
      <c r="Q16" s="28">
        <v>2200000</v>
      </c>
      <c r="R16" s="29">
        <v>0.57008227272727274</v>
      </c>
      <c r="S16" s="30">
        <v>346270</v>
      </c>
      <c r="T16" s="31">
        <v>435900</v>
      </c>
      <c r="U16" s="32">
        <v>2036351</v>
      </c>
      <c r="V16" s="33">
        <v>0</v>
      </c>
      <c r="W16" s="34">
        <v>0</v>
      </c>
      <c r="X16" s="35">
        <v>17262</v>
      </c>
      <c r="Y16" s="36">
        <v>25562</v>
      </c>
      <c r="Z16" s="37">
        <v>750423</v>
      </c>
      <c r="AA16" s="38">
        <v>292622</v>
      </c>
      <c r="AB16" s="38">
        <v>211136</v>
      </c>
      <c r="AC16" s="39">
        <v>1254181</v>
      </c>
      <c r="AD16" s="40">
        <v>0</v>
      </c>
      <c r="AE16" s="28">
        <v>0</v>
      </c>
      <c r="AF16" s="41" t="e">
        <v>#DIV/0!</v>
      </c>
      <c r="AG16" s="30">
        <v>0</v>
      </c>
      <c r="AH16" s="28">
        <v>0</v>
      </c>
      <c r="AI16" s="41" t="e">
        <v>#DIV/0!</v>
      </c>
      <c r="AJ16" s="42">
        <v>0</v>
      </c>
      <c r="AK16" s="35">
        <v>0</v>
      </c>
      <c r="AL16" s="43">
        <v>0</v>
      </c>
      <c r="AM16" s="35">
        <v>0</v>
      </c>
      <c r="AN16" s="43">
        <v>0</v>
      </c>
      <c r="AO16" s="44">
        <v>0</v>
      </c>
      <c r="AP16" s="38">
        <v>0</v>
      </c>
      <c r="AQ16" s="38">
        <v>0</v>
      </c>
      <c r="AR16" s="39">
        <v>0</v>
      </c>
      <c r="AS16" s="45">
        <v>0</v>
      </c>
      <c r="AT16" s="28">
        <v>0</v>
      </c>
      <c r="AU16" s="41" t="e">
        <v>#DIV/0!</v>
      </c>
      <c r="AV16" s="32">
        <v>0</v>
      </c>
      <c r="AW16" s="35">
        <v>0</v>
      </c>
      <c r="AX16" s="43">
        <v>0</v>
      </c>
      <c r="AY16" s="35">
        <v>0</v>
      </c>
      <c r="AZ16" s="43">
        <v>0</v>
      </c>
      <c r="BA16" s="44">
        <v>0</v>
      </c>
      <c r="BB16" s="38">
        <v>0</v>
      </c>
      <c r="BC16" s="38">
        <v>0</v>
      </c>
      <c r="BD16" s="39">
        <v>0</v>
      </c>
      <c r="BE16" s="40">
        <v>4420401</v>
      </c>
      <c r="BF16" s="28">
        <v>6380000</v>
      </c>
      <c r="BG16" s="41">
        <v>0.69285282131661441</v>
      </c>
      <c r="BH16" s="30">
        <v>799747</v>
      </c>
      <c r="BI16" s="30">
        <v>3364257</v>
      </c>
      <c r="BJ16" s="42">
        <v>8584405</v>
      </c>
      <c r="BK16" s="33">
        <v>0</v>
      </c>
      <c r="BL16" s="46">
        <v>0</v>
      </c>
      <c r="BM16" s="33">
        <v>17262</v>
      </c>
      <c r="BN16" s="47">
        <v>134639</v>
      </c>
      <c r="BO16" s="48">
        <v>2545335</v>
      </c>
      <c r="BP16" s="49">
        <v>1622318</v>
      </c>
      <c r="BQ16" s="49">
        <v>252748</v>
      </c>
      <c r="BR16" s="50">
        <v>4420401</v>
      </c>
      <c r="BS16" s="51"/>
      <c r="BT16" s="90"/>
      <c r="BX16" s="91">
        <f>SUM(B16+P16+AD16+AS16)</f>
        <v>4420401</v>
      </c>
      <c r="BY16" s="91">
        <f t="shared" si="1"/>
        <v>0</v>
      </c>
      <c r="CB16" s="93">
        <f>SUM(CB10:CB15)</f>
        <v>1705574</v>
      </c>
    </row>
    <row r="17" spans="1:77" s="52" customFormat="1" ht="35.1" customHeight="1" x14ac:dyDescent="0.15">
      <c r="A17" s="53" t="s">
        <v>77</v>
      </c>
      <c r="B17" s="27">
        <v>1295117</v>
      </c>
      <c r="C17" s="28">
        <v>3420000</v>
      </c>
      <c r="D17" s="29">
        <v>0.37868918128654971</v>
      </c>
      <c r="E17" s="30">
        <v>569352</v>
      </c>
      <c r="F17" s="31">
        <v>2284238</v>
      </c>
      <c r="G17" s="32">
        <v>4148707</v>
      </c>
      <c r="H17" s="33">
        <v>0</v>
      </c>
      <c r="I17" s="34">
        <v>0</v>
      </c>
      <c r="J17" s="35">
        <v>40734</v>
      </c>
      <c r="K17" s="36">
        <v>44007</v>
      </c>
      <c r="L17" s="37">
        <v>762600</v>
      </c>
      <c r="M17" s="38">
        <v>532517</v>
      </c>
      <c r="N17" s="38">
        <v>0</v>
      </c>
      <c r="O17" s="39">
        <v>1295117</v>
      </c>
      <c r="P17" s="40">
        <v>761916</v>
      </c>
      <c r="Q17" s="28">
        <v>1800000</v>
      </c>
      <c r="R17" s="29">
        <v>0.42328666666666664</v>
      </c>
      <c r="S17" s="30">
        <v>255227</v>
      </c>
      <c r="T17" s="31">
        <v>260050</v>
      </c>
      <c r="U17" s="32">
        <v>1277193</v>
      </c>
      <c r="V17" s="33">
        <v>0</v>
      </c>
      <c r="W17" s="34">
        <v>0</v>
      </c>
      <c r="X17" s="35">
        <v>5649</v>
      </c>
      <c r="Y17" s="36">
        <v>12665</v>
      </c>
      <c r="Z17" s="37">
        <v>254954</v>
      </c>
      <c r="AA17" s="38">
        <v>377491</v>
      </c>
      <c r="AB17" s="38">
        <v>129471</v>
      </c>
      <c r="AC17" s="39">
        <v>761916</v>
      </c>
      <c r="AD17" s="40">
        <v>0</v>
      </c>
      <c r="AE17" s="28">
        <v>0</v>
      </c>
      <c r="AF17" s="41" t="e">
        <v>#DIV/0!</v>
      </c>
      <c r="AG17" s="30">
        <v>0</v>
      </c>
      <c r="AH17" s="28">
        <v>0</v>
      </c>
      <c r="AI17" s="41" t="e">
        <v>#DIV/0!</v>
      </c>
      <c r="AJ17" s="42">
        <v>0</v>
      </c>
      <c r="AK17" s="35">
        <v>0</v>
      </c>
      <c r="AL17" s="43">
        <v>0</v>
      </c>
      <c r="AM17" s="35">
        <v>0</v>
      </c>
      <c r="AN17" s="43">
        <v>0</v>
      </c>
      <c r="AO17" s="44">
        <v>0</v>
      </c>
      <c r="AP17" s="38">
        <v>0</v>
      </c>
      <c r="AQ17" s="38">
        <v>0</v>
      </c>
      <c r="AR17" s="39">
        <v>0</v>
      </c>
      <c r="AS17" s="45">
        <v>0</v>
      </c>
      <c r="AT17" s="28">
        <v>0</v>
      </c>
      <c r="AU17" s="41" t="e">
        <v>#DIV/0!</v>
      </c>
      <c r="AV17" s="32">
        <v>0</v>
      </c>
      <c r="AW17" s="35">
        <v>0</v>
      </c>
      <c r="AX17" s="43">
        <v>0</v>
      </c>
      <c r="AY17" s="35">
        <v>0</v>
      </c>
      <c r="AZ17" s="43">
        <v>0</v>
      </c>
      <c r="BA17" s="44">
        <v>0</v>
      </c>
      <c r="BB17" s="38">
        <v>0</v>
      </c>
      <c r="BC17" s="38">
        <v>0</v>
      </c>
      <c r="BD17" s="39">
        <v>0</v>
      </c>
      <c r="BE17" s="40">
        <v>2057033</v>
      </c>
      <c r="BF17" s="28">
        <v>5220000</v>
      </c>
      <c r="BG17" s="41">
        <v>0.3940676245210728</v>
      </c>
      <c r="BH17" s="30">
        <v>824579</v>
      </c>
      <c r="BI17" s="30">
        <v>2544288</v>
      </c>
      <c r="BJ17" s="42">
        <v>5425900</v>
      </c>
      <c r="BK17" s="33">
        <v>0</v>
      </c>
      <c r="BL17" s="46">
        <v>0</v>
      </c>
      <c r="BM17" s="33">
        <v>46383</v>
      </c>
      <c r="BN17" s="47">
        <v>56672</v>
      </c>
      <c r="BO17" s="48">
        <v>1017554</v>
      </c>
      <c r="BP17" s="49">
        <v>910008</v>
      </c>
      <c r="BQ17" s="49">
        <v>129471</v>
      </c>
      <c r="BR17" s="50">
        <v>2057033</v>
      </c>
      <c r="BS17" s="51">
        <v>0</v>
      </c>
      <c r="BT17" s="90"/>
      <c r="BX17" s="91">
        <f t="shared" si="0"/>
        <v>2057033</v>
      </c>
      <c r="BY17" s="91">
        <f t="shared" si="1"/>
        <v>0</v>
      </c>
    </row>
    <row r="18" spans="1:77" s="52" customFormat="1" ht="35.1" customHeight="1" x14ac:dyDescent="0.15">
      <c r="A18" s="53" t="s">
        <v>78</v>
      </c>
      <c r="B18" s="27">
        <v>1874453</v>
      </c>
      <c r="C18" s="28">
        <v>3800000</v>
      </c>
      <c r="D18" s="29">
        <v>0.49327710526315788</v>
      </c>
      <c r="E18" s="30">
        <v>661015</v>
      </c>
      <c r="F18" s="31">
        <v>2286852</v>
      </c>
      <c r="G18" s="32">
        <v>4822320</v>
      </c>
      <c r="H18" s="33">
        <v>0</v>
      </c>
      <c r="I18" s="34">
        <v>0</v>
      </c>
      <c r="J18" s="35">
        <v>30233</v>
      </c>
      <c r="K18" s="36">
        <v>58409</v>
      </c>
      <c r="L18" s="37">
        <v>789458</v>
      </c>
      <c r="M18" s="38">
        <v>1084995</v>
      </c>
      <c r="N18" s="38">
        <v>0</v>
      </c>
      <c r="O18" s="39">
        <v>1874453</v>
      </c>
      <c r="P18" s="40">
        <v>882122</v>
      </c>
      <c r="Q18" s="28">
        <v>1900000</v>
      </c>
      <c r="R18" s="29">
        <v>0.46427473684210524</v>
      </c>
      <c r="S18" s="30">
        <v>349070</v>
      </c>
      <c r="T18" s="31">
        <v>376950</v>
      </c>
      <c r="U18" s="32">
        <v>1608142</v>
      </c>
      <c r="V18" s="33">
        <v>0</v>
      </c>
      <c r="W18" s="34">
        <v>0</v>
      </c>
      <c r="X18" s="35">
        <v>34782</v>
      </c>
      <c r="Y18" s="36">
        <v>8061</v>
      </c>
      <c r="Z18" s="37">
        <v>268115</v>
      </c>
      <c r="AA18" s="38">
        <v>605203</v>
      </c>
      <c r="AB18" s="38">
        <v>8804</v>
      </c>
      <c r="AC18" s="39">
        <v>882122</v>
      </c>
      <c r="AD18" s="40">
        <v>0</v>
      </c>
      <c r="AE18" s="28">
        <v>0</v>
      </c>
      <c r="AF18" s="41" t="e">
        <v>#DIV/0!</v>
      </c>
      <c r="AG18" s="30">
        <v>0</v>
      </c>
      <c r="AH18" s="28">
        <v>0</v>
      </c>
      <c r="AI18" s="41" t="e">
        <v>#DIV/0!</v>
      </c>
      <c r="AJ18" s="42">
        <v>0</v>
      </c>
      <c r="AK18" s="35">
        <v>0</v>
      </c>
      <c r="AL18" s="43">
        <v>0</v>
      </c>
      <c r="AM18" s="35">
        <v>0</v>
      </c>
      <c r="AN18" s="43">
        <v>0</v>
      </c>
      <c r="AO18" s="44">
        <v>0</v>
      </c>
      <c r="AP18" s="38">
        <v>0</v>
      </c>
      <c r="AQ18" s="38">
        <v>0</v>
      </c>
      <c r="AR18" s="94">
        <v>0</v>
      </c>
      <c r="AS18" s="45">
        <v>0</v>
      </c>
      <c r="AT18" s="95">
        <v>0</v>
      </c>
      <c r="AU18" s="41" t="e">
        <v>#DIV/0!</v>
      </c>
      <c r="AV18" s="32">
        <v>0</v>
      </c>
      <c r="AW18" s="35">
        <v>0</v>
      </c>
      <c r="AX18" s="43">
        <v>0</v>
      </c>
      <c r="AY18" s="35">
        <v>20412</v>
      </c>
      <c r="AZ18" s="43">
        <v>0</v>
      </c>
      <c r="BA18" s="44">
        <v>0</v>
      </c>
      <c r="BB18" s="38">
        <v>0</v>
      </c>
      <c r="BC18" s="38">
        <v>0</v>
      </c>
      <c r="BD18" s="39">
        <v>0</v>
      </c>
      <c r="BE18" s="40">
        <v>2756575</v>
      </c>
      <c r="BF18" s="28">
        <v>5800000</v>
      </c>
      <c r="BG18" s="96">
        <v>0.47527155172413793</v>
      </c>
      <c r="BH18" s="30">
        <v>1010085</v>
      </c>
      <c r="BI18" s="30">
        <v>2663802</v>
      </c>
      <c r="BJ18" s="42">
        <v>6430462</v>
      </c>
      <c r="BK18" s="33">
        <v>0</v>
      </c>
      <c r="BL18" s="46">
        <v>0</v>
      </c>
      <c r="BM18" s="33">
        <v>85427</v>
      </c>
      <c r="BN18" s="47">
        <v>66470</v>
      </c>
      <c r="BO18" s="48">
        <v>1057573</v>
      </c>
      <c r="BP18" s="49">
        <v>1690198</v>
      </c>
      <c r="BQ18" s="49">
        <v>8804</v>
      </c>
      <c r="BR18" s="50">
        <v>2756575</v>
      </c>
      <c r="BS18" s="51">
        <v>0</v>
      </c>
      <c r="BT18" s="90"/>
      <c r="BX18" s="91">
        <f t="shared" si="0"/>
        <v>2756575</v>
      </c>
      <c r="BY18" s="91">
        <f t="shared" si="1"/>
        <v>0</v>
      </c>
    </row>
    <row r="19" spans="1:77" s="52" customFormat="1" ht="35.1" customHeight="1" thickBot="1" x14ac:dyDescent="0.2">
      <c r="A19" s="53" t="s">
        <v>79</v>
      </c>
      <c r="B19" s="27">
        <v>2922986</v>
      </c>
      <c r="C19" s="28">
        <v>4180000</v>
      </c>
      <c r="D19" s="29">
        <v>0.699278947368421</v>
      </c>
      <c r="E19" s="30">
        <v>2619197</v>
      </c>
      <c r="F19" s="31">
        <v>3264608</v>
      </c>
      <c r="G19" s="32">
        <v>8806791</v>
      </c>
      <c r="H19" s="33">
        <v>0</v>
      </c>
      <c r="I19" s="34">
        <v>0</v>
      </c>
      <c r="J19" s="35">
        <v>10834</v>
      </c>
      <c r="K19" s="36">
        <v>137531</v>
      </c>
      <c r="L19" s="37">
        <v>1527865</v>
      </c>
      <c r="M19" s="38">
        <v>1272218</v>
      </c>
      <c r="N19" s="38">
        <v>122903</v>
      </c>
      <c r="O19" s="39">
        <v>2922986</v>
      </c>
      <c r="P19" s="40">
        <v>1459984</v>
      </c>
      <c r="Q19" s="28">
        <v>2200000</v>
      </c>
      <c r="R19" s="29">
        <v>0.66362909090909095</v>
      </c>
      <c r="S19" s="30">
        <v>373321</v>
      </c>
      <c r="T19" s="31">
        <v>497900</v>
      </c>
      <c r="U19" s="32">
        <v>2331205</v>
      </c>
      <c r="V19" s="33">
        <v>0</v>
      </c>
      <c r="W19" s="34">
        <v>0</v>
      </c>
      <c r="X19" s="35">
        <v>8440</v>
      </c>
      <c r="Y19" s="36">
        <v>16800</v>
      </c>
      <c r="Z19" s="37">
        <v>720598</v>
      </c>
      <c r="AA19" s="38">
        <v>725842</v>
      </c>
      <c r="AB19" s="38">
        <v>13544</v>
      </c>
      <c r="AC19" s="39">
        <v>1459984</v>
      </c>
      <c r="AD19" s="40">
        <v>0</v>
      </c>
      <c r="AE19" s="28">
        <v>0</v>
      </c>
      <c r="AF19" s="41" t="e">
        <v>#DIV/0!</v>
      </c>
      <c r="AG19" s="30">
        <v>0</v>
      </c>
      <c r="AH19" s="28">
        <v>0</v>
      </c>
      <c r="AI19" s="41" t="e">
        <v>#DIV/0!</v>
      </c>
      <c r="AJ19" s="42">
        <v>0</v>
      </c>
      <c r="AK19" s="35">
        <v>0</v>
      </c>
      <c r="AL19" s="43">
        <v>0</v>
      </c>
      <c r="AM19" s="35">
        <v>0</v>
      </c>
      <c r="AN19" s="43">
        <v>0</v>
      </c>
      <c r="AO19" s="44">
        <v>0</v>
      </c>
      <c r="AP19" s="38">
        <v>0</v>
      </c>
      <c r="AQ19" s="38">
        <v>0</v>
      </c>
      <c r="AR19" s="39">
        <v>0</v>
      </c>
      <c r="AS19" s="45">
        <v>3347545</v>
      </c>
      <c r="AT19" s="28">
        <v>1600000</v>
      </c>
      <c r="AU19" s="41">
        <v>2.0922156250000001</v>
      </c>
      <c r="AV19" s="32">
        <v>3284781</v>
      </c>
      <c r="AW19" s="35">
        <v>0</v>
      </c>
      <c r="AX19" s="43">
        <v>0</v>
      </c>
      <c r="AY19" s="35">
        <v>7810</v>
      </c>
      <c r="AZ19" s="43">
        <v>0</v>
      </c>
      <c r="BA19" s="44">
        <v>2649016</v>
      </c>
      <c r="BB19" s="38">
        <v>248422</v>
      </c>
      <c r="BC19" s="38">
        <v>450107</v>
      </c>
      <c r="BD19" s="39">
        <v>3284781</v>
      </c>
      <c r="BE19" s="40">
        <v>7730515</v>
      </c>
      <c r="BF19" s="28">
        <v>7980000</v>
      </c>
      <c r="BG19" s="41">
        <v>0.96873621553884715</v>
      </c>
      <c r="BH19" s="30">
        <v>2992518</v>
      </c>
      <c r="BI19" s="30">
        <v>3762508</v>
      </c>
      <c r="BJ19" s="42">
        <v>14485541</v>
      </c>
      <c r="BK19" s="33">
        <v>0</v>
      </c>
      <c r="BL19" s="46">
        <v>0</v>
      </c>
      <c r="BM19" s="33">
        <v>27084</v>
      </c>
      <c r="BN19" s="47">
        <v>154331</v>
      </c>
      <c r="BO19" s="48">
        <v>4897479</v>
      </c>
      <c r="BP19" s="49">
        <v>2246482</v>
      </c>
      <c r="BQ19" s="49">
        <v>586554</v>
      </c>
      <c r="BR19" s="50">
        <v>7730515</v>
      </c>
      <c r="BS19" s="51">
        <v>0</v>
      </c>
      <c r="BT19" s="90"/>
      <c r="BX19" s="91" t="e">
        <f>SUM(B19+P19+AD19+#REF!)</f>
        <v>#REF!</v>
      </c>
      <c r="BY19" s="91" t="e">
        <f>BX19-BE19</f>
        <v>#REF!</v>
      </c>
    </row>
    <row r="20" spans="1:77" s="10" customFormat="1" ht="35.1" customHeight="1" thickTop="1" thickBot="1" x14ac:dyDescent="0.2">
      <c r="A20" s="54" t="s">
        <v>80</v>
      </c>
      <c r="B20" s="55">
        <f>SUM(B8:B19)</f>
        <v>30094429</v>
      </c>
      <c r="C20" s="56">
        <f>SUM(C8:C19)</f>
        <v>45220000</v>
      </c>
      <c r="D20" s="57">
        <f>B20/C20</f>
        <v>0.66551147722246795</v>
      </c>
      <c r="E20" s="58">
        <f>SUM(E8:E19)</f>
        <v>20194552</v>
      </c>
      <c r="F20" s="59">
        <f>SUM(F8:F19)</f>
        <v>35665998</v>
      </c>
      <c r="G20" s="60">
        <f>B20+E20+F20</f>
        <v>85954979</v>
      </c>
      <c r="H20" s="61">
        <f t="shared" ref="H20:N20" si="2">SUM(H8:H19)</f>
        <v>0</v>
      </c>
      <c r="I20" s="62">
        <f t="shared" si="2"/>
        <v>0</v>
      </c>
      <c r="J20" s="61">
        <f t="shared" si="2"/>
        <v>560483</v>
      </c>
      <c r="K20" s="62">
        <f t="shared" si="2"/>
        <v>919687</v>
      </c>
      <c r="L20" s="63">
        <f t="shared" si="2"/>
        <v>20987716</v>
      </c>
      <c r="M20" s="63">
        <f t="shared" si="2"/>
        <v>8766270</v>
      </c>
      <c r="N20" s="63">
        <f t="shared" si="2"/>
        <v>340443</v>
      </c>
      <c r="O20" s="64">
        <f>SUM(L20:N20)</f>
        <v>30094429</v>
      </c>
      <c r="P20" s="65">
        <f>SUM(P8:P19)</f>
        <v>15248449</v>
      </c>
      <c r="Q20" s="56">
        <f>SUM(Q8:Q19)</f>
        <v>23700000</v>
      </c>
      <c r="R20" s="57">
        <f>P20/Q20</f>
        <v>0.64339447257383964</v>
      </c>
      <c r="S20" s="58">
        <f>SUM(S8:S19)</f>
        <v>5456313</v>
      </c>
      <c r="T20" s="59">
        <f>SUM(T8:T19)</f>
        <v>5859968</v>
      </c>
      <c r="U20" s="60">
        <f>P20+S20+T20</f>
        <v>26564730</v>
      </c>
      <c r="V20" s="61">
        <f t="shared" ref="V20:AB20" si="3">SUM(V8:V19)</f>
        <v>0</v>
      </c>
      <c r="W20" s="62">
        <f t="shared" si="3"/>
        <v>0</v>
      </c>
      <c r="X20" s="61">
        <f t="shared" si="3"/>
        <v>103167</v>
      </c>
      <c r="Y20" s="62">
        <f t="shared" si="3"/>
        <v>313932</v>
      </c>
      <c r="Z20" s="63">
        <f t="shared" si="3"/>
        <v>8152001</v>
      </c>
      <c r="AA20" s="63">
        <f t="shared" si="3"/>
        <v>6107876</v>
      </c>
      <c r="AB20" s="63">
        <f t="shared" si="3"/>
        <v>988572</v>
      </c>
      <c r="AC20" s="64">
        <f>SUM(Z20:AB20)</f>
        <v>15248449</v>
      </c>
      <c r="AD20" s="65">
        <f>SUM(AD8:AD19)</f>
        <v>59108</v>
      </c>
      <c r="AE20" s="56">
        <f>SUM(AE8:AE19)</f>
        <v>0</v>
      </c>
      <c r="AF20" s="57" t="e">
        <f>AD20/AE20</f>
        <v>#DIV/0!</v>
      </c>
      <c r="AG20" s="58">
        <f>SUM(AG8:AG19)</f>
        <v>429885</v>
      </c>
      <c r="AH20" s="56">
        <f>SUM(AH8:AH19)</f>
        <v>2433600</v>
      </c>
      <c r="AI20" s="57">
        <f>AG20/AH20</f>
        <v>0.1766457100591716</v>
      </c>
      <c r="AJ20" s="66">
        <f>AD20+AG20</f>
        <v>488993</v>
      </c>
      <c r="AK20" s="61">
        <f t="shared" ref="AK20:AT20" si="4">SUM(AK8:AK19)</f>
        <v>0</v>
      </c>
      <c r="AL20" s="62">
        <f t="shared" si="4"/>
        <v>0</v>
      </c>
      <c r="AM20" s="61">
        <f t="shared" si="4"/>
        <v>7222</v>
      </c>
      <c r="AN20" s="62">
        <f t="shared" si="4"/>
        <v>14562</v>
      </c>
      <c r="AO20" s="67">
        <f t="shared" si="4"/>
        <v>41155</v>
      </c>
      <c r="AP20" s="67">
        <f t="shared" si="4"/>
        <v>17953</v>
      </c>
      <c r="AQ20" s="67">
        <f t="shared" si="4"/>
        <v>0</v>
      </c>
      <c r="AR20" s="68">
        <f t="shared" si="4"/>
        <v>59108</v>
      </c>
      <c r="AS20" s="69">
        <f>SUM(AS8:AS19)</f>
        <v>22953379</v>
      </c>
      <c r="AT20" s="56">
        <f t="shared" si="4"/>
        <v>14882400</v>
      </c>
      <c r="AU20" s="57">
        <f>AS19/AT20</f>
        <v>0.22493314250389723</v>
      </c>
      <c r="AV20" s="60">
        <f>SUM(AV8:AV19)</f>
        <v>22890615</v>
      </c>
      <c r="AW20" s="61">
        <f t="shared" ref="AW20:BD20" si="5">SUM(AW8:AW19)</f>
        <v>0</v>
      </c>
      <c r="AX20" s="62">
        <f t="shared" si="5"/>
        <v>0</v>
      </c>
      <c r="AY20" s="61">
        <f t="shared" si="5"/>
        <v>401138</v>
      </c>
      <c r="AZ20" s="62">
        <f t="shared" si="5"/>
        <v>72098</v>
      </c>
      <c r="BA20" s="63">
        <f t="shared" si="5"/>
        <v>19618025</v>
      </c>
      <c r="BB20" s="63">
        <f t="shared" si="5"/>
        <v>2239196</v>
      </c>
      <c r="BC20" s="63">
        <f t="shared" si="5"/>
        <v>953474</v>
      </c>
      <c r="BD20" s="70">
        <f t="shared" si="5"/>
        <v>22747931</v>
      </c>
      <c r="BE20" s="69">
        <f>SUM(BE8:BE19)</f>
        <v>68355365</v>
      </c>
      <c r="BF20" s="56">
        <f>SUM(BF8:BF19)</f>
        <v>83902400</v>
      </c>
      <c r="BG20" s="97">
        <f>BE20/BF20</f>
        <v>0.81470095015160471</v>
      </c>
      <c r="BH20" s="58">
        <f t="shared" ref="BH20:BQ20" si="6">SUM(BH8:BH19)</f>
        <v>26080750</v>
      </c>
      <c r="BI20" s="58">
        <f t="shared" si="6"/>
        <v>41525966</v>
      </c>
      <c r="BJ20" s="72">
        <f t="shared" si="6"/>
        <v>135962081</v>
      </c>
      <c r="BK20" s="61">
        <f t="shared" si="6"/>
        <v>0</v>
      </c>
      <c r="BL20" s="73">
        <f t="shared" si="6"/>
        <v>0</v>
      </c>
      <c r="BM20" s="61">
        <f t="shared" si="6"/>
        <v>1072010</v>
      </c>
      <c r="BN20" s="73">
        <f t="shared" si="6"/>
        <v>1284477</v>
      </c>
      <c r="BO20" s="74">
        <f t="shared" si="6"/>
        <v>48941581</v>
      </c>
      <c r="BP20" s="75">
        <f t="shared" si="6"/>
        <v>17131295</v>
      </c>
      <c r="BQ20" s="75">
        <f t="shared" si="6"/>
        <v>2282489</v>
      </c>
      <c r="BR20" s="64">
        <f>SUM(BO20:BQ20)</f>
        <v>68355365</v>
      </c>
      <c r="BS20" s="76">
        <f>SUM(BS8:BS19)</f>
        <v>0</v>
      </c>
      <c r="BT20" s="87"/>
      <c r="BX20" s="91">
        <f>SUM(B20+P20+AD20+AS19)</f>
        <v>48749531</v>
      </c>
      <c r="BY20" s="91">
        <f t="shared" si="1"/>
        <v>-19605834</v>
      </c>
    </row>
    <row r="21" spans="1:77" x14ac:dyDescent="0.15">
      <c r="B21" s="78"/>
      <c r="C21" s="78"/>
      <c r="D21" s="78"/>
      <c r="E21" s="78"/>
      <c r="P21" s="78"/>
      <c r="R21" s="78"/>
      <c r="S21" s="78"/>
    </row>
    <row r="22" spans="1:77" ht="20.25" x14ac:dyDescent="0.2">
      <c r="D22" s="77" ph="1"/>
      <c r="R22" s="77" ph="1"/>
      <c r="AG22" s="98"/>
      <c r="BE22" s="78"/>
    </row>
    <row r="23" spans="1:77" ht="20.25" x14ac:dyDescent="0.2">
      <c r="D23" s="77" ph="1"/>
      <c r="R23" s="77" ph="1"/>
      <c r="AG23" s="98"/>
      <c r="AV23" s="10"/>
    </row>
    <row r="24" spans="1:77" ht="20.25" x14ac:dyDescent="0.2">
      <c r="D24" s="77" ph="1"/>
      <c r="R24" s="77" ph="1"/>
      <c r="AG24" s="98"/>
      <c r="AV24" s="10"/>
    </row>
    <row r="25" spans="1:77" ht="20.25" x14ac:dyDescent="0.2">
      <c r="D25" s="77" ph="1"/>
      <c r="R25" s="77" ph="1"/>
      <c r="AG25" s="98"/>
      <c r="AV25" s="10"/>
    </row>
    <row r="26" spans="1:77" ht="20.25" x14ac:dyDescent="0.2">
      <c r="D26" s="77" ph="1"/>
      <c r="R26" s="77" ph="1"/>
      <c r="AG26" s="98"/>
      <c r="AH26" s="98"/>
      <c r="AL26" s="99"/>
      <c r="AV26" s="10"/>
    </row>
    <row r="27" spans="1:77" ht="20.25" x14ac:dyDescent="0.2">
      <c r="D27" s="77" ph="1"/>
      <c r="R27" s="77" ph="1"/>
      <c r="AG27" s="98"/>
      <c r="AH27" s="98"/>
      <c r="AL27" s="99"/>
      <c r="AV27" s="10"/>
    </row>
    <row r="28" spans="1:77" ht="19.5" x14ac:dyDescent="0.15">
      <c r="AG28" s="98"/>
      <c r="AL28" s="99"/>
      <c r="AV28" s="10"/>
    </row>
    <row r="29" spans="1:77" ht="19.5" x14ac:dyDescent="0.15">
      <c r="AG29" s="98"/>
      <c r="AV29" s="10"/>
    </row>
    <row r="30" spans="1:77" ht="19.5" x14ac:dyDescent="0.15">
      <c r="AG30" s="98"/>
      <c r="AV30" s="10"/>
    </row>
    <row r="31" spans="1:77" ht="19.5" x14ac:dyDescent="0.15">
      <c r="AG31" s="98"/>
      <c r="AV31" s="10"/>
    </row>
    <row r="32" spans="1:77" x14ac:dyDescent="0.15">
      <c r="AV32" s="10"/>
    </row>
    <row r="33" spans="4:48" x14ac:dyDescent="0.15">
      <c r="AV33" s="10"/>
    </row>
    <row r="34" spans="4:48" x14ac:dyDescent="0.15">
      <c r="AV34" s="10"/>
    </row>
    <row r="41" spans="4:48" ht="20.25" x14ac:dyDescent="0.2">
      <c r="D41" s="77" ph="1"/>
      <c r="R41" s="77" ph="1"/>
    </row>
    <row r="42" spans="4:48" ht="20.25" x14ac:dyDescent="0.2">
      <c r="D42" s="77" ph="1"/>
      <c r="R42" s="77" ph="1"/>
    </row>
    <row r="43" spans="4:48" ht="20.25" x14ac:dyDescent="0.2">
      <c r="D43" s="77" ph="1"/>
      <c r="R43" s="77" ph="1"/>
    </row>
    <row r="44" spans="4:48" ht="20.25" x14ac:dyDescent="0.2">
      <c r="D44" s="77" ph="1"/>
      <c r="R44" s="77" ph="1"/>
    </row>
    <row r="45" spans="4:48" ht="20.25" x14ac:dyDescent="0.2">
      <c r="D45" s="77" ph="1"/>
      <c r="R45" s="77" ph="1"/>
    </row>
    <row r="46" spans="4:48" ht="20.25" x14ac:dyDescent="0.2">
      <c r="D46" s="77" ph="1"/>
      <c r="R46" s="77" ph="1"/>
    </row>
  </sheetData>
  <customSheetViews>
    <customSheetView guid="{92DE7E81-188B-400C-BE95-FD63ABDF8569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EBC6F117-7011-42E1-9204-AFA5AE46444E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B36B1895-E9A1-4552-80C2-AE733C5D8FC0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D392CFE5-9754-418C-A1C2-3219D700ECE9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11C8E2F-3E2A-4A2A-9E9E-AAFA15EA9C86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5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6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7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70" printArea="1" hiddenColumns="1" view="pageBreakPreview" showRuler="0">
      <pane xSplit="1" ySplit="7" topLeftCell="B8" activePane="bottomRight" state="frozen"/>
      <selection pane="bottomRight" activeCell="R15" sqref="R15"/>
      <colBreaks count="1" manualBreakCount="1">
        <brk id="66" max="38" man="1"/>
      </colBreaks>
      <pageMargins left="0.23" right="0" top="0.75" bottom="0" header="0.39370078740157483" footer="0.2"/>
      <pageSetup paperSize="9" scale="18" orientation="landscape" r:id="rId8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60">
    <mergeCell ref="AK6:AL6"/>
    <mergeCell ref="AM6:AN6"/>
    <mergeCell ref="AO6:AR6"/>
    <mergeCell ref="AS6:AU6"/>
    <mergeCell ref="AV6:AV7"/>
    <mergeCell ref="AK5:AR5"/>
    <mergeCell ref="AS5:AV5"/>
    <mergeCell ref="AW5:BD5"/>
    <mergeCell ref="BE5:BN5"/>
    <mergeCell ref="BO5:BR5"/>
    <mergeCell ref="BS5:BS7"/>
    <mergeCell ref="AW6:AX6"/>
    <mergeCell ref="AY6:AZ6"/>
    <mergeCell ref="BA6:BD6"/>
    <mergeCell ref="BE6:BG6"/>
    <mergeCell ref="BO6:BR6"/>
    <mergeCell ref="BH6:BH7"/>
    <mergeCell ref="BI6:BI7"/>
    <mergeCell ref="BJ6:BJ7"/>
    <mergeCell ref="BK6:BL6"/>
    <mergeCell ref="BM6:BN6"/>
    <mergeCell ref="A5:A7"/>
    <mergeCell ref="B5:G5"/>
    <mergeCell ref="H5:O5"/>
    <mergeCell ref="P5:U5"/>
    <mergeCell ref="V5:AC5"/>
    <mergeCell ref="H6:I6"/>
    <mergeCell ref="J6:K6"/>
    <mergeCell ref="L6:O6"/>
    <mergeCell ref="P6:R6"/>
    <mergeCell ref="S6:S7"/>
    <mergeCell ref="T6:T7"/>
    <mergeCell ref="U6:U7"/>
    <mergeCell ref="V6:W6"/>
    <mergeCell ref="X6:Y6"/>
    <mergeCell ref="Z6:AC6"/>
    <mergeCell ref="AD5:AJ5"/>
    <mergeCell ref="B6:D6"/>
    <mergeCell ref="E6:E7"/>
    <mergeCell ref="F6:F7"/>
    <mergeCell ref="G6:G7"/>
    <mergeCell ref="AG6:AI6"/>
    <mergeCell ref="AD6:AF6"/>
    <mergeCell ref="AJ6:AJ7"/>
    <mergeCell ref="BI1:BL1"/>
    <mergeCell ref="BM1:BN1"/>
    <mergeCell ref="AV2:BE4"/>
    <mergeCell ref="BG2:BH4"/>
    <mergeCell ref="BI2:BL4"/>
    <mergeCell ref="BM2:BN4"/>
    <mergeCell ref="BG1:BH1"/>
    <mergeCell ref="A1:D4"/>
    <mergeCell ref="E1:P2"/>
    <mergeCell ref="R1:AT2"/>
    <mergeCell ref="AU1:AU4"/>
    <mergeCell ref="AV1:BE1"/>
    <mergeCell ref="E3:P3"/>
    <mergeCell ref="R3:AT3"/>
    <mergeCell ref="E4:P4"/>
    <mergeCell ref="R4:AT4"/>
  </mergeCells>
  <phoneticPr fontId="3" type="noConversion"/>
  <pageMargins left="0.23" right="0" top="0.75" bottom="0" header="0.39370078740157483" footer="0.2"/>
  <pageSetup paperSize="9" scale="18" orientation="landscape" r:id="rId9"/>
  <headerFooter alignWithMargins="0">
    <oddHeader xml:space="preserve">&amp;R
</oddHeader>
    <oddFooter>&amp;L&amp;16DOC ID NO.:CP-601-01 REV.1 DATE:2013.01.04&amp;C&amp;20 1 / 1</oddFooter>
  </headerFooter>
  <colBreaks count="1" manualBreakCount="1">
    <brk id="66" max="38" man="1"/>
  </colBrea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autoPageBreaks="0"/>
  </sheetPr>
  <dimension ref="A1:BM46"/>
  <sheetViews>
    <sheetView showRuler="0" zoomScale="80" zoomScaleNormal="80" zoomScaleSheetLayoutView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H12" sqref="H12"/>
    </sheetView>
  </sheetViews>
  <sheetFormatPr defaultRowHeight="15" x14ac:dyDescent="0.15"/>
  <cols>
    <col min="1" max="1" width="7" style="77" customWidth="1"/>
    <col min="2" max="2" width="11.33203125" style="77" customWidth="1"/>
    <col min="3" max="3" width="10.33203125" style="77" customWidth="1"/>
    <col min="4" max="4" width="7.77734375" style="77" customWidth="1"/>
    <col min="5" max="5" width="10.77734375" style="77" customWidth="1"/>
    <col min="6" max="6" width="9.88671875" style="77" customWidth="1"/>
    <col min="7" max="7" width="10.77734375" style="77" customWidth="1"/>
    <col min="8" max="8" width="10.33203125" style="79" customWidth="1"/>
    <col min="9" max="9" width="10" style="79" customWidth="1"/>
    <col min="10" max="10" width="10.33203125" style="79" customWidth="1"/>
    <col min="11" max="11" width="10" style="79" customWidth="1"/>
    <col min="12" max="15" width="10.33203125" style="80" customWidth="1"/>
    <col min="16" max="16" width="11.33203125" style="77" customWidth="1"/>
    <col min="17" max="17" width="10.33203125" style="81" customWidth="1"/>
    <col min="18" max="18" width="7.77734375" style="77" customWidth="1"/>
    <col min="19" max="19" width="10.77734375" style="77" customWidth="1"/>
    <col min="20" max="20" width="9.88671875" style="82" customWidth="1"/>
    <col min="21" max="21" width="10.77734375" style="77" customWidth="1"/>
    <col min="22" max="22" width="10.33203125" style="79" customWidth="1"/>
    <col min="23" max="23" width="10" style="79" customWidth="1"/>
    <col min="24" max="24" width="10.33203125" style="79" customWidth="1"/>
    <col min="25" max="25" width="10" style="79" customWidth="1"/>
    <col min="26" max="29" width="10.33203125" style="80" customWidth="1"/>
    <col min="30" max="30" width="11.77734375" style="77" customWidth="1"/>
    <col min="31" max="31" width="11.44140625" style="81" customWidth="1"/>
    <col min="32" max="32" width="7.77734375" style="77" customWidth="1"/>
    <col min="33" max="33" width="11.77734375" style="77" customWidth="1"/>
    <col min="34" max="34" width="10.33203125" style="79" customWidth="1"/>
    <col min="35" max="35" width="10" style="79" customWidth="1"/>
    <col min="36" max="36" width="10.33203125" style="79" customWidth="1"/>
    <col min="37" max="37" width="10" style="79" customWidth="1"/>
    <col min="38" max="41" width="10.33203125" style="80" customWidth="1"/>
    <col min="42" max="42" width="11.77734375" style="77" customWidth="1"/>
    <col min="43" max="43" width="10.88671875" style="81" customWidth="1"/>
    <col min="44" max="44" width="7.77734375" style="77" customWidth="1"/>
    <col min="45" max="45" width="11.77734375" style="77" customWidth="1"/>
    <col min="46" max="46" width="11.77734375" style="83" customWidth="1"/>
    <col min="47" max="47" width="11.77734375" style="77" customWidth="1"/>
    <col min="48" max="48" width="10.33203125" style="79" customWidth="1"/>
    <col min="49" max="49" width="10" style="79" customWidth="1"/>
    <col min="50" max="50" width="10.33203125" style="79" customWidth="1"/>
    <col min="51" max="51" width="10" style="79" customWidth="1"/>
    <col min="52" max="52" width="11.77734375" style="84" customWidth="1"/>
    <col min="53" max="54" width="10.33203125" style="84" customWidth="1"/>
    <col min="55" max="55" width="11.21875" style="84" customWidth="1"/>
    <col min="56" max="56" width="11.5546875" style="85" customWidth="1"/>
    <col min="57" max="57" width="11.109375" style="86" customWidth="1"/>
    <col min="58" max="58" width="9.77734375" style="85" customWidth="1"/>
    <col min="59" max="59" width="8.88671875" style="85" customWidth="1"/>
    <col min="60" max="60" width="8.88671875" style="85"/>
    <col min="61" max="61" width="11.109375" style="85" bestFit="1" customWidth="1"/>
    <col min="62" max="62" width="10.6640625" style="85" bestFit="1" customWidth="1"/>
    <col min="63" max="64" width="8.88671875" style="85"/>
    <col min="65" max="65" width="11.21875" style="85" bestFit="1" customWidth="1"/>
    <col min="66" max="16384" width="8.88671875" style="85"/>
  </cols>
  <sheetData>
    <row r="1" spans="1:65" s="5" customFormat="1" ht="28.5" customHeight="1" x14ac:dyDescent="0.15">
      <c r="A1" s="101"/>
      <c r="B1" s="102"/>
      <c r="C1" s="102"/>
      <c r="D1" s="102"/>
      <c r="E1" s="185" t="s">
        <v>27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"/>
      <c r="R1" s="107" t="s">
        <v>28</v>
      </c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9"/>
      <c r="AF1" s="193" t="s">
        <v>29</v>
      </c>
      <c r="AG1" s="113" t="s">
        <v>30</v>
      </c>
      <c r="AH1" s="113"/>
      <c r="AI1" s="113"/>
      <c r="AJ1" s="113"/>
      <c r="AK1" s="113"/>
      <c r="AL1" s="113"/>
      <c r="AM1" s="113"/>
      <c r="AN1" s="113"/>
      <c r="AO1" s="113"/>
      <c r="AP1" s="113"/>
      <c r="AQ1" s="2"/>
      <c r="AR1" s="113" t="s">
        <v>31</v>
      </c>
      <c r="AS1" s="113"/>
      <c r="AT1" s="113" t="s">
        <v>32</v>
      </c>
      <c r="AU1" s="113"/>
      <c r="AV1" s="113"/>
      <c r="AW1" s="113"/>
      <c r="AX1" s="113" t="s">
        <v>33</v>
      </c>
      <c r="AY1" s="132"/>
      <c r="AZ1" s="3"/>
      <c r="BA1" s="4"/>
      <c r="BB1" s="4"/>
      <c r="BC1" s="4"/>
      <c r="BE1" s="86"/>
    </row>
    <row r="2" spans="1:65" s="5" customFormat="1" ht="15" customHeight="1" x14ac:dyDescent="0.15">
      <c r="A2" s="103"/>
      <c r="B2" s="104"/>
      <c r="C2" s="104"/>
      <c r="D2" s="104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6"/>
      <c r="R2" s="190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7"/>
      <c r="AR2" s="133"/>
      <c r="AS2" s="134"/>
      <c r="AT2" s="134"/>
      <c r="AU2" s="134"/>
      <c r="AV2" s="134"/>
      <c r="AW2" s="134"/>
      <c r="AX2" s="134"/>
      <c r="AY2" s="136"/>
      <c r="AZ2" s="3"/>
      <c r="BA2" s="4"/>
      <c r="BB2" s="4"/>
      <c r="BC2" s="4"/>
      <c r="BE2" s="86"/>
    </row>
    <row r="3" spans="1:65" s="5" customFormat="1" ht="39.950000000000003" customHeight="1" x14ac:dyDescent="0.15">
      <c r="A3" s="103"/>
      <c r="B3" s="104"/>
      <c r="C3" s="104"/>
      <c r="D3" s="104"/>
      <c r="E3" s="194" t="s">
        <v>34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6"/>
      <c r="R3" s="195" t="s">
        <v>35</v>
      </c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7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7"/>
      <c r="AR3" s="134"/>
      <c r="AS3" s="134"/>
      <c r="AT3" s="134"/>
      <c r="AU3" s="134"/>
      <c r="AV3" s="134"/>
      <c r="AW3" s="134"/>
      <c r="AX3" s="134"/>
      <c r="AY3" s="136"/>
      <c r="AZ3" s="3"/>
      <c r="BA3" s="4"/>
      <c r="BB3" s="4"/>
      <c r="BC3" s="4"/>
      <c r="BE3" s="86"/>
    </row>
    <row r="4" spans="1:65" s="5" customFormat="1" ht="39.950000000000003" customHeight="1" thickBot="1" x14ac:dyDescent="0.2">
      <c r="A4" s="105"/>
      <c r="B4" s="106"/>
      <c r="C4" s="106"/>
      <c r="D4" s="106"/>
      <c r="E4" s="198" t="s">
        <v>36</v>
      </c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8"/>
      <c r="R4" s="200" t="s">
        <v>37</v>
      </c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2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9"/>
      <c r="AR4" s="135"/>
      <c r="AS4" s="135"/>
      <c r="AT4" s="135"/>
      <c r="AU4" s="135"/>
      <c r="AV4" s="135"/>
      <c r="AW4" s="135"/>
      <c r="AX4" s="135"/>
      <c r="AY4" s="137"/>
      <c r="AZ4" s="3"/>
      <c r="BA4" s="4"/>
      <c r="BB4" s="4"/>
      <c r="BC4" s="4"/>
      <c r="BE4" s="86"/>
    </row>
    <row r="5" spans="1:65" s="10" customFormat="1" ht="21.75" customHeight="1" thickBot="1" x14ac:dyDescent="0.2">
      <c r="A5" s="144" t="s">
        <v>38</v>
      </c>
      <c r="B5" s="147" t="s">
        <v>115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7" t="s">
        <v>116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9"/>
      <c r="AD5" s="147" t="s">
        <v>117</v>
      </c>
      <c r="AE5" s="148"/>
      <c r="AF5" s="148"/>
      <c r="AG5" s="149"/>
      <c r="AH5" s="166"/>
      <c r="AI5" s="166"/>
      <c r="AJ5" s="166"/>
      <c r="AK5" s="166"/>
      <c r="AL5" s="166"/>
      <c r="AM5" s="166"/>
      <c r="AN5" s="166"/>
      <c r="AO5" s="167"/>
      <c r="AP5" s="168" t="s">
        <v>120</v>
      </c>
      <c r="AQ5" s="169"/>
      <c r="AR5" s="169"/>
      <c r="AS5" s="169"/>
      <c r="AT5" s="169"/>
      <c r="AU5" s="169"/>
      <c r="AV5" s="169"/>
      <c r="AW5" s="169"/>
      <c r="AX5" s="169"/>
      <c r="AY5" s="170"/>
      <c r="AZ5" s="171" t="s">
        <v>44</v>
      </c>
      <c r="BA5" s="172"/>
      <c r="BB5" s="172"/>
      <c r="BC5" s="173"/>
      <c r="BD5" s="205" t="s">
        <v>45</v>
      </c>
      <c r="BE5" s="87"/>
    </row>
    <row r="6" spans="1:65" s="11" customFormat="1" ht="21.75" customHeight="1" x14ac:dyDescent="0.15">
      <c r="A6" s="145"/>
      <c r="B6" s="150" t="s">
        <v>106</v>
      </c>
      <c r="C6" s="151"/>
      <c r="D6" s="151"/>
      <c r="E6" s="151" t="s">
        <v>47</v>
      </c>
      <c r="F6" s="153" t="s">
        <v>48</v>
      </c>
      <c r="G6" s="151" t="s">
        <v>49</v>
      </c>
      <c r="H6" s="159" t="s">
        <v>50</v>
      </c>
      <c r="I6" s="159"/>
      <c r="J6" s="159" t="s">
        <v>51</v>
      </c>
      <c r="K6" s="159"/>
      <c r="L6" s="160" t="s">
        <v>52</v>
      </c>
      <c r="M6" s="160"/>
      <c r="N6" s="160"/>
      <c r="O6" s="161"/>
      <c r="P6" s="150" t="s">
        <v>121</v>
      </c>
      <c r="Q6" s="151"/>
      <c r="R6" s="151"/>
      <c r="S6" s="151" t="s">
        <v>47</v>
      </c>
      <c r="T6" s="153" t="s">
        <v>48</v>
      </c>
      <c r="U6" s="151" t="s">
        <v>49</v>
      </c>
      <c r="V6" s="159" t="s">
        <v>50</v>
      </c>
      <c r="W6" s="159"/>
      <c r="X6" s="159" t="s">
        <v>51</v>
      </c>
      <c r="Y6" s="159"/>
      <c r="Z6" s="160" t="s">
        <v>52</v>
      </c>
      <c r="AA6" s="160"/>
      <c r="AB6" s="160"/>
      <c r="AC6" s="161"/>
      <c r="AD6" s="150" t="s">
        <v>118</v>
      </c>
      <c r="AE6" s="151"/>
      <c r="AF6" s="151"/>
      <c r="AG6" s="177" t="s">
        <v>49</v>
      </c>
      <c r="AH6" s="158" t="s">
        <v>50</v>
      </c>
      <c r="AI6" s="159"/>
      <c r="AJ6" s="159" t="s">
        <v>51</v>
      </c>
      <c r="AK6" s="159"/>
      <c r="AL6" s="160" t="s">
        <v>52</v>
      </c>
      <c r="AM6" s="160"/>
      <c r="AN6" s="160"/>
      <c r="AO6" s="161"/>
      <c r="AP6" s="150" t="s">
        <v>119</v>
      </c>
      <c r="AQ6" s="151"/>
      <c r="AR6" s="151"/>
      <c r="AS6" s="151" t="s">
        <v>47</v>
      </c>
      <c r="AT6" s="151" t="s">
        <v>48</v>
      </c>
      <c r="AU6" s="162" t="s">
        <v>49</v>
      </c>
      <c r="AV6" s="164" t="s">
        <v>50</v>
      </c>
      <c r="AW6" s="165"/>
      <c r="AX6" s="164" t="s">
        <v>51</v>
      </c>
      <c r="AY6" s="165"/>
      <c r="AZ6" s="174" t="s">
        <v>52</v>
      </c>
      <c r="BA6" s="175"/>
      <c r="BB6" s="175"/>
      <c r="BC6" s="176"/>
      <c r="BD6" s="156"/>
      <c r="BE6" s="88" t="s">
        <v>58</v>
      </c>
    </row>
    <row r="7" spans="1:65" s="25" customFormat="1" ht="21" customHeight="1" thickBot="1" x14ac:dyDescent="0.2">
      <c r="A7" s="146"/>
      <c r="B7" s="12" t="s">
        <v>59</v>
      </c>
      <c r="C7" s="13" t="s">
        <v>60</v>
      </c>
      <c r="D7" s="14" t="s">
        <v>61</v>
      </c>
      <c r="E7" s="152"/>
      <c r="F7" s="154"/>
      <c r="G7" s="152"/>
      <c r="H7" s="15" t="s">
        <v>62</v>
      </c>
      <c r="I7" s="15" t="s">
        <v>63</v>
      </c>
      <c r="J7" s="15" t="s">
        <v>62</v>
      </c>
      <c r="K7" s="15" t="s">
        <v>63</v>
      </c>
      <c r="L7" s="16" t="s">
        <v>64</v>
      </c>
      <c r="M7" s="16" t="s">
        <v>65</v>
      </c>
      <c r="N7" s="16" t="s">
        <v>66</v>
      </c>
      <c r="O7" s="17" t="s">
        <v>49</v>
      </c>
      <c r="P7" s="12" t="s">
        <v>59</v>
      </c>
      <c r="Q7" s="13" t="s">
        <v>60</v>
      </c>
      <c r="R7" s="14" t="s">
        <v>61</v>
      </c>
      <c r="S7" s="152"/>
      <c r="T7" s="154"/>
      <c r="U7" s="152"/>
      <c r="V7" s="15" t="s">
        <v>62</v>
      </c>
      <c r="W7" s="15" t="s">
        <v>63</v>
      </c>
      <c r="X7" s="15" t="s">
        <v>62</v>
      </c>
      <c r="Y7" s="15" t="s">
        <v>63</v>
      </c>
      <c r="Z7" s="16" t="s">
        <v>64</v>
      </c>
      <c r="AA7" s="16" t="s">
        <v>65</v>
      </c>
      <c r="AB7" s="16" t="s">
        <v>66</v>
      </c>
      <c r="AC7" s="17" t="s">
        <v>49</v>
      </c>
      <c r="AD7" s="12" t="s">
        <v>59</v>
      </c>
      <c r="AE7" s="13" t="s">
        <v>60</v>
      </c>
      <c r="AF7" s="14" t="s">
        <v>61</v>
      </c>
      <c r="AG7" s="178"/>
      <c r="AH7" s="19" t="s">
        <v>62</v>
      </c>
      <c r="AI7" s="15" t="s">
        <v>63</v>
      </c>
      <c r="AJ7" s="15" t="s">
        <v>62</v>
      </c>
      <c r="AK7" s="15" t="s">
        <v>63</v>
      </c>
      <c r="AL7" s="16" t="s">
        <v>64</v>
      </c>
      <c r="AM7" s="16" t="s">
        <v>65</v>
      </c>
      <c r="AN7" s="16" t="s">
        <v>66</v>
      </c>
      <c r="AO7" s="17" t="s">
        <v>49</v>
      </c>
      <c r="AP7" s="12" t="s">
        <v>59</v>
      </c>
      <c r="AQ7" s="13" t="s">
        <v>60</v>
      </c>
      <c r="AR7" s="14" t="s">
        <v>61</v>
      </c>
      <c r="AS7" s="152"/>
      <c r="AT7" s="152"/>
      <c r="AU7" s="163"/>
      <c r="AV7" s="20" t="s">
        <v>62</v>
      </c>
      <c r="AW7" s="21" t="s">
        <v>63</v>
      </c>
      <c r="AX7" s="20" t="s">
        <v>62</v>
      </c>
      <c r="AY7" s="21" t="s">
        <v>63</v>
      </c>
      <c r="AZ7" s="22" t="s">
        <v>64</v>
      </c>
      <c r="BA7" s="23" t="s">
        <v>65</v>
      </c>
      <c r="BB7" s="23" t="s">
        <v>66</v>
      </c>
      <c r="BC7" s="24" t="s">
        <v>49</v>
      </c>
      <c r="BD7" s="157"/>
      <c r="BE7" s="89" t="s">
        <v>67</v>
      </c>
    </row>
    <row r="8" spans="1:65" s="52" customFormat="1" ht="35.1" customHeight="1" x14ac:dyDescent="0.15">
      <c r="A8" s="53" t="s">
        <v>68</v>
      </c>
      <c r="B8" s="27">
        <v>1987280</v>
      </c>
      <c r="C8" s="28">
        <v>3045000</v>
      </c>
      <c r="D8" s="29">
        <v>0.65263711001642033</v>
      </c>
      <c r="E8" s="30">
        <v>4215233</v>
      </c>
      <c r="F8" s="31">
        <v>3875704</v>
      </c>
      <c r="G8" s="32">
        <v>10078217</v>
      </c>
      <c r="H8" s="33">
        <v>0</v>
      </c>
      <c r="I8" s="34">
        <v>0</v>
      </c>
      <c r="J8" s="35">
        <v>0</v>
      </c>
      <c r="K8" s="36">
        <v>34511</v>
      </c>
      <c r="L8" s="37">
        <v>1291879</v>
      </c>
      <c r="M8" s="38">
        <v>632454</v>
      </c>
      <c r="N8" s="38">
        <v>62947</v>
      </c>
      <c r="O8" s="39">
        <v>1987280</v>
      </c>
      <c r="P8" s="40">
        <v>1900013</v>
      </c>
      <c r="Q8" s="28">
        <v>1470000</v>
      </c>
      <c r="R8" s="29">
        <v>1.292525850340136</v>
      </c>
      <c r="S8" s="30">
        <v>283270</v>
      </c>
      <c r="T8" s="31">
        <v>224600</v>
      </c>
      <c r="U8" s="32">
        <v>2407883</v>
      </c>
      <c r="V8" s="33">
        <v>0</v>
      </c>
      <c r="W8" s="34">
        <v>0</v>
      </c>
      <c r="X8" s="35">
        <v>48703</v>
      </c>
      <c r="Y8" s="36">
        <v>6671</v>
      </c>
      <c r="Z8" s="37">
        <v>758517</v>
      </c>
      <c r="AA8" s="38">
        <v>1067741</v>
      </c>
      <c r="AB8" s="38">
        <v>73755</v>
      </c>
      <c r="AC8" s="39">
        <v>1900013</v>
      </c>
      <c r="AD8" s="45">
        <v>4128358</v>
      </c>
      <c r="AE8" s="28">
        <v>4200000</v>
      </c>
      <c r="AF8" s="41">
        <v>0.98294238095238096</v>
      </c>
      <c r="AG8" s="32">
        <v>4128358</v>
      </c>
      <c r="AH8" s="35">
        <v>0</v>
      </c>
      <c r="AI8" s="43">
        <v>0</v>
      </c>
      <c r="AJ8" s="35">
        <v>49177</v>
      </c>
      <c r="AK8" s="43">
        <v>71342</v>
      </c>
      <c r="AL8" s="44">
        <v>3635115</v>
      </c>
      <c r="AM8" s="38">
        <v>419790</v>
      </c>
      <c r="AN8" s="38">
        <v>73453</v>
      </c>
      <c r="AO8" s="39">
        <v>4128358</v>
      </c>
      <c r="AP8" s="40">
        <v>8015651</v>
      </c>
      <c r="AQ8" s="28">
        <v>8715000</v>
      </c>
      <c r="AR8" s="41">
        <v>0.91975341365461849</v>
      </c>
      <c r="AS8" s="30">
        <v>4498503</v>
      </c>
      <c r="AT8" s="30">
        <v>4100304</v>
      </c>
      <c r="AU8" s="42">
        <v>16614458</v>
      </c>
      <c r="AV8" s="33">
        <v>0</v>
      </c>
      <c r="AW8" s="46">
        <v>0</v>
      </c>
      <c r="AX8" s="33">
        <v>97880</v>
      </c>
      <c r="AY8" s="47">
        <v>112524</v>
      </c>
      <c r="AZ8" s="48">
        <v>5685511</v>
      </c>
      <c r="BA8" s="49">
        <v>2119985</v>
      </c>
      <c r="BB8" s="49">
        <v>210155</v>
      </c>
      <c r="BC8" s="50">
        <v>8015651</v>
      </c>
      <c r="BD8" s="51">
        <v>0</v>
      </c>
      <c r="BE8" s="90"/>
      <c r="BI8" s="91" t="e">
        <f>SUM(B8+P8+#REF!+AD8)</f>
        <v>#REF!</v>
      </c>
      <c r="BJ8" s="91" t="e">
        <f>BI8-AP8</f>
        <v>#REF!</v>
      </c>
    </row>
    <row r="9" spans="1:65" s="52" customFormat="1" ht="35.1" customHeight="1" x14ac:dyDescent="0.15">
      <c r="A9" s="53" t="s">
        <v>69</v>
      </c>
      <c r="B9" s="27">
        <v>1469350</v>
      </c>
      <c r="C9" s="28">
        <v>2465000</v>
      </c>
      <c r="D9" s="29">
        <v>0.59608519269776872</v>
      </c>
      <c r="E9" s="30">
        <v>3474160</v>
      </c>
      <c r="F9" s="31">
        <v>4240743</v>
      </c>
      <c r="G9" s="32">
        <v>9184253</v>
      </c>
      <c r="H9" s="33">
        <v>0</v>
      </c>
      <c r="I9" s="34">
        <v>0</v>
      </c>
      <c r="J9" s="35">
        <v>17846</v>
      </c>
      <c r="K9" s="36">
        <v>58736</v>
      </c>
      <c r="L9" s="37">
        <v>1042608</v>
      </c>
      <c r="M9" s="38">
        <v>400175</v>
      </c>
      <c r="N9" s="38">
        <v>26567</v>
      </c>
      <c r="O9" s="39">
        <v>1469350</v>
      </c>
      <c r="P9" s="40">
        <v>1314768</v>
      </c>
      <c r="Q9" s="28">
        <v>1190000</v>
      </c>
      <c r="R9" s="29">
        <v>1.1048470588235295</v>
      </c>
      <c r="S9" s="30">
        <v>183953</v>
      </c>
      <c r="T9" s="31">
        <v>756450</v>
      </c>
      <c r="U9" s="32">
        <v>2255171</v>
      </c>
      <c r="V9" s="33">
        <v>0</v>
      </c>
      <c r="W9" s="34">
        <v>0</v>
      </c>
      <c r="X9" s="35">
        <v>50531</v>
      </c>
      <c r="Y9" s="36">
        <v>45389</v>
      </c>
      <c r="Z9" s="37">
        <v>512495</v>
      </c>
      <c r="AA9" s="38">
        <v>770013</v>
      </c>
      <c r="AB9" s="38">
        <v>32260</v>
      </c>
      <c r="AC9" s="39">
        <v>1314768</v>
      </c>
      <c r="AD9" s="45">
        <v>4116126</v>
      </c>
      <c r="AE9" s="28">
        <v>3400000</v>
      </c>
      <c r="AF9" s="41">
        <v>1.210625294117647</v>
      </c>
      <c r="AG9" s="32">
        <v>4116126</v>
      </c>
      <c r="AH9" s="35">
        <v>0</v>
      </c>
      <c r="AI9" s="43">
        <v>0</v>
      </c>
      <c r="AJ9" s="35">
        <v>123144</v>
      </c>
      <c r="AK9" s="43">
        <v>48802</v>
      </c>
      <c r="AL9" s="44">
        <v>3418629</v>
      </c>
      <c r="AM9" s="38">
        <v>273136</v>
      </c>
      <c r="AN9" s="38">
        <v>424361</v>
      </c>
      <c r="AO9" s="39">
        <v>4116126</v>
      </c>
      <c r="AP9" s="40">
        <v>6900244</v>
      </c>
      <c r="AQ9" s="28">
        <v>7055000</v>
      </c>
      <c r="AR9" s="41">
        <v>0.97806435152374205</v>
      </c>
      <c r="AS9" s="30">
        <v>3658113</v>
      </c>
      <c r="AT9" s="30">
        <v>4997193</v>
      </c>
      <c r="AU9" s="42">
        <v>15555550</v>
      </c>
      <c r="AV9" s="33">
        <v>0</v>
      </c>
      <c r="AW9" s="46">
        <v>0</v>
      </c>
      <c r="AX9" s="33">
        <v>191521</v>
      </c>
      <c r="AY9" s="47">
        <v>152927</v>
      </c>
      <c r="AZ9" s="48">
        <v>4973732</v>
      </c>
      <c r="BA9" s="49">
        <v>1443324</v>
      </c>
      <c r="BB9" s="49">
        <v>483188</v>
      </c>
      <c r="BC9" s="50">
        <v>6900244</v>
      </c>
      <c r="BD9" s="51"/>
      <c r="BE9" s="90"/>
      <c r="BI9" s="91" t="e">
        <f>SUM(B9+P9+#REF!+AD9)</f>
        <v>#REF!</v>
      </c>
      <c r="BJ9" s="91" t="e">
        <f t="shared" ref="BJ9:BJ20" si="0">BI9-AP9</f>
        <v>#REF!</v>
      </c>
    </row>
    <row r="10" spans="1:65" s="52" customFormat="1" ht="35.1" customHeight="1" x14ac:dyDescent="0.15">
      <c r="A10" s="53" t="s">
        <v>70</v>
      </c>
      <c r="B10" s="27">
        <v>3816065</v>
      </c>
      <c r="C10" s="28">
        <v>3045000</v>
      </c>
      <c r="D10" s="29">
        <v>1.2532233169129721</v>
      </c>
      <c r="E10" s="30">
        <v>1595610</v>
      </c>
      <c r="F10" s="31">
        <v>2525795</v>
      </c>
      <c r="G10" s="32">
        <v>7937470</v>
      </c>
      <c r="H10" s="33">
        <v>0</v>
      </c>
      <c r="I10" s="34">
        <v>0</v>
      </c>
      <c r="J10" s="35">
        <v>46600</v>
      </c>
      <c r="K10" s="36">
        <v>123804</v>
      </c>
      <c r="L10" s="37">
        <v>3107534</v>
      </c>
      <c r="M10" s="38">
        <v>642374</v>
      </c>
      <c r="N10" s="38">
        <v>66157</v>
      </c>
      <c r="O10" s="39">
        <v>3816065</v>
      </c>
      <c r="P10" s="40">
        <v>1815041</v>
      </c>
      <c r="Q10" s="28">
        <v>1470000</v>
      </c>
      <c r="R10" s="29">
        <v>1.234721768707483</v>
      </c>
      <c r="S10" s="30">
        <v>298803</v>
      </c>
      <c r="T10" s="31">
        <v>183850</v>
      </c>
      <c r="U10" s="32">
        <v>2297694</v>
      </c>
      <c r="V10" s="33">
        <v>0</v>
      </c>
      <c r="W10" s="34">
        <v>0</v>
      </c>
      <c r="X10" s="35">
        <v>9774</v>
      </c>
      <c r="Y10" s="36">
        <v>22875</v>
      </c>
      <c r="Z10" s="37">
        <v>1243145</v>
      </c>
      <c r="AA10" s="38">
        <v>229194</v>
      </c>
      <c r="AB10" s="38">
        <v>342702</v>
      </c>
      <c r="AC10" s="39">
        <v>1815041</v>
      </c>
      <c r="AD10" s="45">
        <v>1921361</v>
      </c>
      <c r="AE10" s="28">
        <v>4200000</v>
      </c>
      <c r="AF10" s="41">
        <v>0.45746690476190477</v>
      </c>
      <c r="AG10" s="32">
        <v>1921361</v>
      </c>
      <c r="AH10" s="35">
        <v>0</v>
      </c>
      <c r="AI10" s="43">
        <v>0</v>
      </c>
      <c r="AJ10" s="35">
        <v>232572</v>
      </c>
      <c r="AK10" s="43">
        <v>55916</v>
      </c>
      <c r="AL10" s="44">
        <v>1671892</v>
      </c>
      <c r="AM10" s="38">
        <v>204218</v>
      </c>
      <c r="AN10" s="38">
        <v>45251</v>
      </c>
      <c r="AO10" s="39">
        <v>1921361</v>
      </c>
      <c r="AP10" s="40">
        <v>7552467</v>
      </c>
      <c r="AQ10" s="28">
        <v>8715000</v>
      </c>
      <c r="AR10" s="41">
        <v>0.86660550774526679</v>
      </c>
      <c r="AS10" s="30">
        <v>1894413</v>
      </c>
      <c r="AT10" s="30">
        <v>2709645</v>
      </c>
      <c r="AU10" s="42">
        <v>12156525</v>
      </c>
      <c r="AV10" s="33">
        <v>0</v>
      </c>
      <c r="AW10" s="46">
        <v>0</v>
      </c>
      <c r="AX10" s="33">
        <v>288946</v>
      </c>
      <c r="AY10" s="47">
        <v>202595</v>
      </c>
      <c r="AZ10" s="48">
        <v>6022571</v>
      </c>
      <c r="BA10" s="49">
        <v>1075786</v>
      </c>
      <c r="BB10" s="49">
        <v>454110</v>
      </c>
      <c r="BC10" s="50">
        <v>7552467</v>
      </c>
      <c r="BD10" s="51"/>
      <c r="BE10" s="90"/>
      <c r="BI10" s="91" t="e">
        <f>SUM(B10+P10+#REF!+AD10)</f>
        <v>#REF!</v>
      </c>
      <c r="BJ10" s="91" t="e">
        <f t="shared" si="0"/>
        <v>#REF!</v>
      </c>
      <c r="BM10" s="92">
        <v>402639</v>
      </c>
    </row>
    <row r="11" spans="1:65" s="52" customFormat="1" ht="35.1" customHeight="1" x14ac:dyDescent="0.15">
      <c r="A11" s="53" t="s">
        <v>71</v>
      </c>
      <c r="B11" s="27">
        <v>3084813</v>
      </c>
      <c r="C11" s="28">
        <v>3190000</v>
      </c>
      <c r="D11" s="29">
        <v>0.96702601880877748</v>
      </c>
      <c r="E11" s="30">
        <v>1452121</v>
      </c>
      <c r="F11" s="31">
        <v>3731484</v>
      </c>
      <c r="G11" s="32">
        <v>8268418</v>
      </c>
      <c r="H11" s="33">
        <v>0</v>
      </c>
      <c r="I11" s="34">
        <v>0</v>
      </c>
      <c r="J11" s="35">
        <v>91251</v>
      </c>
      <c r="K11" s="36">
        <v>154456</v>
      </c>
      <c r="L11" s="37">
        <v>2339527</v>
      </c>
      <c r="M11" s="38">
        <v>720050</v>
      </c>
      <c r="N11" s="38">
        <v>25236</v>
      </c>
      <c r="O11" s="39">
        <v>3084813</v>
      </c>
      <c r="P11" s="40">
        <v>2003872</v>
      </c>
      <c r="Q11" s="28">
        <v>1540000</v>
      </c>
      <c r="R11" s="29">
        <v>1.3012155844155844</v>
      </c>
      <c r="S11" s="30">
        <v>454354</v>
      </c>
      <c r="T11" s="31">
        <v>509050</v>
      </c>
      <c r="U11" s="32">
        <v>2967276</v>
      </c>
      <c r="V11" s="33">
        <v>0</v>
      </c>
      <c r="W11" s="34">
        <v>0</v>
      </c>
      <c r="X11" s="35">
        <v>19808</v>
      </c>
      <c r="Y11" s="36">
        <v>86479</v>
      </c>
      <c r="Z11" s="37">
        <v>1195939</v>
      </c>
      <c r="AA11" s="38">
        <v>775830</v>
      </c>
      <c r="AB11" s="38">
        <v>32103</v>
      </c>
      <c r="AC11" s="39">
        <v>2003872</v>
      </c>
      <c r="AD11" s="45">
        <v>1865729</v>
      </c>
      <c r="AE11" s="28">
        <v>4400000</v>
      </c>
      <c r="AF11" s="41">
        <v>0.42402931818181816</v>
      </c>
      <c r="AG11" s="32">
        <v>1865729</v>
      </c>
      <c r="AH11" s="35">
        <v>0</v>
      </c>
      <c r="AI11" s="43">
        <v>0</v>
      </c>
      <c r="AJ11" s="35">
        <v>728821</v>
      </c>
      <c r="AK11" s="43">
        <v>0</v>
      </c>
      <c r="AL11" s="44">
        <v>1495345</v>
      </c>
      <c r="AM11" s="38">
        <v>304372</v>
      </c>
      <c r="AN11" s="38">
        <v>66012</v>
      </c>
      <c r="AO11" s="39">
        <v>1865729</v>
      </c>
      <c r="AP11" s="40">
        <v>6954414</v>
      </c>
      <c r="AQ11" s="28">
        <v>9130000</v>
      </c>
      <c r="AR11" s="41">
        <v>0.76171018619934283</v>
      </c>
      <c r="AS11" s="30">
        <v>1906475</v>
      </c>
      <c r="AT11" s="30">
        <v>4240534</v>
      </c>
      <c r="AU11" s="42">
        <v>13101423</v>
      </c>
      <c r="AV11" s="33">
        <v>0</v>
      </c>
      <c r="AW11" s="46">
        <v>0</v>
      </c>
      <c r="AX11" s="33">
        <v>839880</v>
      </c>
      <c r="AY11" s="47">
        <v>240935</v>
      </c>
      <c r="AZ11" s="48">
        <v>5030811</v>
      </c>
      <c r="BA11" s="49">
        <v>1800252</v>
      </c>
      <c r="BB11" s="49">
        <v>123351</v>
      </c>
      <c r="BC11" s="50">
        <v>6954414</v>
      </c>
      <c r="BD11" s="51"/>
      <c r="BE11" s="90"/>
      <c r="BI11" s="91" t="e">
        <f>SUM(B11+P11+#REF!+AD11)</f>
        <v>#REF!</v>
      </c>
      <c r="BJ11" s="91" t="e">
        <f t="shared" si="0"/>
        <v>#REF!</v>
      </c>
      <c r="BM11" s="92">
        <v>287124</v>
      </c>
    </row>
    <row r="12" spans="1:65" s="52" customFormat="1" ht="35.1" customHeight="1" x14ac:dyDescent="0.15">
      <c r="A12" s="53" t="s">
        <v>72</v>
      </c>
      <c r="B12" s="27">
        <v>1853480</v>
      </c>
      <c r="C12" s="28">
        <v>2610000</v>
      </c>
      <c r="D12" s="29">
        <v>0.71014559386973175</v>
      </c>
      <c r="E12" s="30">
        <v>2338263</v>
      </c>
      <c r="F12" s="31">
        <v>3670382</v>
      </c>
      <c r="G12" s="32">
        <v>7862125</v>
      </c>
      <c r="H12" s="33">
        <v>0</v>
      </c>
      <c r="I12" s="34">
        <v>0</v>
      </c>
      <c r="J12" s="35">
        <v>20787</v>
      </c>
      <c r="K12" s="36">
        <v>150907</v>
      </c>
      <c r="L12" s="37">
        <v>1229173</v>
      </c>
      <c r="M12" s="38">
        <v>556858</v>
      </c>
      <c r="N12" s="38">
        <v>67449</v>
      </c>
      <c r="O12" s="39">
        <v>1853480</v>
      </c>
      <c r="P12" s="40">
        <v>1999938</v>
      </c>
      <c r="Q12" s="28">
        <v>1260000</v>
      </c>
      <c r="R12" s="29">
        <v>1.5872523809523809</v>
      </c>
      <c r="S12" s="30">
        <v>241002</v>
      </c>
      <c r="T12" s="31">
        <v>416400</v>
      </c>
      <c r="U12" s="32">
        <v>2657340</v>
      </c>
      <c r="V12" s="33">
        <v>0</v>
      </c>
      <c r="W12" s="34">
        <v>0</v>
      </c>
      <c r="X12" s="35">
        <v>0</v>
      </c>
      <c r="Y12" s="36">
        <v>6707</v>
      </c>
      <c r="Z12" s="37">
        <v>1032140</v>
      </c>
      <c r="AA12" s="38">
        <v>832819</v>
      </c>
      <c r="AB12" s="38">
        <v>134979</v>
      </c>
      <c r="AC12" s="39">
        <v>1999938</v>
      </c>
      <c r="AD12" s="45">
        <v>2517531</v>
      </c>
      <c r="AE12" s="28">
        <v>3600000</v>
      </c>
      <c r="AF12" s="41">
        <v>0.69931416666666668</v>
      </c>
      <c r="AG12" s="32">
        <v>2517531</v>
      </c>
      <c r="AH12" s="35">
        <v>0</v>
      </c>
      <c r="AI12" s="43">
        <v>0</v>
      </c>
      <c r="AJ12" s="35">
        <v>218955</v>
      </c>
      <c r="AK12" s="43">
        <v>27470</v>
      </c>
      <c r="AL12" s="44">
        <v>2250222</v>
      </c>
      <c r="AM12" s="38">
        <v>178424</v>
      </c>
      <c r="AN12" s="38">
        <v>88885</v>
      </c>
      <c r="AO12" s="39">
        <v>2517531</v>
      </c>
      <c r="AP12" s="40">
        <v>6370949</v>
      </c>
      <c r="AQ12" s="28">
        <v>7470000</v>
      </c>
      <c r="AR12" s="41">
        <v>0.85287135207496656</v>
      </c>
      <c r="AS12" s="30">
        <v>2579265</v>
      </c>
      <c r="AT12" s="30">
        <v>4086782</v>
      </c>
      <c r="AU12" s="42">
        <v>13036996</v>
      </c>
      <c r="AV12" s="33">
        <v>0</v>
      </c>
      <c r="AW12" s="46">
        <v>0</v>
      </c>
      <c r="AX12" s="33">
        <v>239742</v>
      </c>
      <c r="AY12" s="47">
        <v>185084</v>
      </c>
      <c r="AZ12" s="48">
        <v>4511535</v>
      </c>
      <c r="BA12" s="49">
        <v>1568101</v>
      </c>
      <c r="BB12" s="49">
        <v>291313</v>
      </c>
      <c r="BC12" s="50">
        <v>6370949</v>
      </c>
      <c r="BD12" s="51"/>
      <c r="BE12" s="90"/>
      <c r="BI12" s="91" t="e">
        <f>SUM(B12+P12+#REF!+AD12)</f>
        <v>#REF!</v>
      </c>
      <c r="BJ12" s="91" t="e">
        <f t="shared" si="0"/>
        <v>#REF!</v>
      </c>
      <c r="BM12" s="92">
        <v>256859</v>
      </c>
    </row>
    <row r="13" spans="1:65" s="52" customFormat="1" ht="35.1" customHeight="1" x14ac:dyDescent="0.15">
      <c r="A13" s="53" t="s">
        <v>73</v>
      </c>
      <c r="B13" s="27"/>
      <c r="C13" s="28"/>
      <c r="D13" s="29"/>
      <c r="E13" s="30"/>
      <c r="F13" s="31"/>
      <c r="G13" s="32"/>
      <c r="H13" s="33"/>
      <c r="I13" s="34"/>
      <c r="J13" s="35"/>
      <c r="K13" s="36"/>
      <c r="L13" s="37"/>
      <c r="M13" s="38"/>
      <c r="N13" s="38"/>
      <c r="O13" s="39"/>
      <c r="P13" s="40"/>
      <c r="Q13" s="28"/>
      <c r="R13" s="29"/>
      <c r="S13" s="30"/>
      <c r="T13" s="31"/>
      <c r="U13" s="32"/>
      <c r="V13" s="33"/>
      <c r="W13" s="34"/>
      <c r="X13" s="35"/>
      <c r="Y13" s="36"/>
      <c r="Z13" s="37"/>
      <c r="AA13" s="38"/>
      <c r="AB13" s="38"/>
      <c r="AC13" s="39"/>
      <c r="AD13" s="45"/>
      <c r="AE13" s="28"/>
      <c r="AF13" s="41"/>
      <c r="AG13" s="32"/>
      <c r="AH13" s="35"/>
      <c r="AI13" s="43"/>
      <c r="AJ13" s="35"/>
      <c r="AK13" s="43"/>
      <c r="AL13" s="44"/>
      <c r="AM13" s="38"/>
      <c r="AN13" s="38"/>
      <c r="AO13" s="39"/>
      <c r="AP13" s="40"/>
      <c r="AQ13" s="28"/>
      <c r="AR13" s="41"/>
      <c r="AS13" s="30"/>
      <c r="AT13" s="30"/>
      <c r="AU13" s="42"/>
      <c r="AV13" s="33"/>
      <c r="AW13" s="46"/>
      <c r="AX13" s="33"/>
      <c r="AY13" s="47"/>
      <c r="AZ13" s="48"/>
      <c r="BA13" s="49"/>
      <c r="BB13" s="49"/>
      <c r="BC13" s="50"/>
      <c r="BD13" s="51"/>
      <c r="BE13" s="90"/>
      <c r="BI13" s="91" t="e">
        <f>SUM(B13+P13+#REF!+AD13)</f>
        <v>#REF!</v>
      </c>
      <c r="BJ13" s="91" t="e">
        <f t="shared" si="0"/>
        <v>#REF!</v>
      </c>
      <c r="BM13" s="92">
        <v>325481</v>
      </c>
    </row>
    <row r="14" spans="1:65" s="52" customFormat="1" ht="35.1" customHeight="1" x14ac:dyDescent="0.15">
      <c r="A14" s="53" t="s">
        <v>74</v>
      </c>
      <c r="B14" s="27"/>
      <c r="C14" s="28"/>
      <c r="D14" s="29"/>
      <c r="E14" s="30"/>
      <c r="F14" s="31"/>
      <c r="G14" s="32"/>
      <c r="H14" s="33"/>
      <c r="I14" s="34"/>
      <c r="J14" s="35"/>
      <c r="K14" s="36"/>
      <c r="L14" s="37"/>
      <c r="M14" s="38"/>
      <c r="N14" s="38"/>
      <c r="O14" s="39"/>
      <c r="P14" s="40"/>
      <c r="Q14" s="28"/>
      <c r="R14" s="29"/>
      <c r="S14" s="30"/>
      <c r="T14" s="31"/>
      <c r="U14" s="32"/>
      <c r="V14" s="33"/>
      <c r="W14" s="34"/>
      <c r="X14" s="35"/>
      <c r="Y14" s="36"/>
      <c r="Z14" s="37"/>
      <c r="AA14" s="38"/>
      <c r="AB14" s="38" t="s">
        <v>131</v>
      </c>
      <c r="AC14" s="39"/>
      <c r="AD14" s="45"/>
      <c r="AE14" s="28"/>
      <c r="AF14" s="41"/>
      <c r="AG14" s="32"/>
      <c r="AH14" s="35"/>
      <c r="AI14" s="43"/>
      <c r="AJ14" s="35"/>
      <c r="AK14" s="43"/>
      <c r="AL14" s="44"/>
      <c r="AM14" s="38"/>
      <c r="AN14" s="38"/>
      <c r="AO14" s="39"/>
      <c r="AP14" s="40"/>
      <c r="AQ14" s="28"/>
      <c r="AR14" s="41"/>
      <c r="AS14" s="30"/>
      <c r="AT14" s="30"/>
      <c r="AU14" s="42"/>
      <c r="AV14" s="33"/>
      <c r="AW14" s="46"/>
      <c r="AX14" s="33"/>
      <c r="AY14" s="47"/>
      <c r="AZ14" s="48"/>
      <c r="BA14" s="49"/>
      <c r="BB14" s="49"/>
      <c r="BC14" s="50"/>
      <c r="BD14" s="51"/>
      <c r="BE14" s="90"/>
      <c r="BI14" s="91" t="e">
        <f>SUM(B14+P14+#REF!+AD14)</f>
        <v>#REF!</v>
      </c>
      <c r="BJ14" s="91" t="e">
        <f t="shared" si="0"/>
        <v>#REF!</v>
      </c>
      <c r="BM14" s="92">
        <v>277296</v>
      </c>
    </row>
    <row r="15" spans="1:65" s="52" customFormat="1" ht="35.1" customHeight="1" x14ac:dyDescent="0.15">
      <c r="A15" s="53" t="s">
        <v>75</v>
      </c>
      <c r="B15" s="27"/>
      <c r="C15" s="28"/>
      <c r="D15" s="29"/>
      <c r="E15" s="30"/>
      <c r="F15" s="31"/>
      <c r="G15" s="32"/>
      <c r="H15" s="33"/>
      <c r="I15" s="34"/>
      <c r="J15" s="35"/>
      <c r="K15" s="36"/>
      <c r="L15" s="37"/>
      <c r="M15" s="38"/>
      <c r="N15" s="38"/>
      <c r="O15" s="39"/>
      <c r="P15" s="40"/>
      <c r="Q15" s="28"/>
      <c r="R15" s="29"/>
      <c r="S15" s="30"/>
      <c r="T15" s="31"/>
      <c r="U15" s="32"/>
      <c r="V15" s="33"/>
      <c r="W15" s="34"/>
      <c r="X15" s="35"/>
      <c r="Y15" s="36"/>
      <c r="Z15" s="37"/>
      <c r="AA15" s="38"/>
      <c r="AB15" s="38"/>
      <c r="AC15" s="39"/>
      <c r="AD15" s="45"/>
      <c r="AE15" s="28"/>
      <c r="AF15" s="41"/>
      <c r="AG15" s="32"/>
      <c r="AH15" s="35"/>
      <c r="AI15" s="43"/>
      <c r="AJ15" s="35"/>
      <c r="AK15" s="43"/>
      <c r="AL15" s="44"/>
      <c r="AM15" s="38"/>
      <c r="AN15" s="38"/>
      <c r="AO15" s="39"/>
      <c r="AP15" s="40"/>
      <c r="AQ15" s="28"/>
      <c r="AR15" s="41"/>
      <c r="AS15" s="30"/>
      <c r="AT15" s="30"/>
      <c r="AU15" s="42"/>
      <c r="AV15" s="33"/>
      <c r="AW15" s="46"/>
      <c r="AX15" s="33"/>
      <c r="AY15" s="47"/>
      <c r="AZ15" s="48"/>
      <c r="BA15" s="49"/>
      <c r="BB15" s="49"/>
      <c r="BC15" s="50"/>
      <c r="BD15" s="51"/>
      <c r="BE15" s="90"/>
      <c r="BI15" s="91" t="e">
        <f>SUM(B15+P15+#REF!+AD15)</f>
        <v>#REF!</v>
      </c>
      <c r="BJ15" s="91" t="e">
        <f t="shared" si="0"/>
        <v>#REF!</v>
      </c>
      <c r="BM15" s="92">
        <v>156175</v>
      </c>
    </row>
    <row r="16" spans="1:65" s="52" customFormat="1" ht="35.1" customHeight="1" x14ac:dyDescent="0.15">
      <c r="A16" s="53" t="s">
        <v>76</v>
      </c>
      <c r="B16" s="27"/>
      <c r="C16" s="28"/>
      <c r="D16" s="29"/>
      <c r="E16" s="30"/>
      <c r="F16" s="31"/>
      <c r="G16" s="32"/>
      <c r="H16" s="33"/>
      <c r="I16" s="34"/>
      <c r="J16" s="35"/>
      <c r="K16" s="36"/>
      <c r="L16" s="37"/>
      <c r="M16" s="38"/>
      <c r="N16" s="38"/>
      <c r="O16" s="39"/>
      <c r="P16" s="40"/>
      <c r="Q16" s="28"/>
      <c r="R16" s="29"/>
      <c r="S16" s="30"/>
      <c r="T16" s="31"/>
      <c r="U16" s="32"/>
      <c r="V16" s="33"/>
      <c r="W16" s="34"/>
      <c r="X16" s="35"/>
      <c r="Y16" s="36"/>
      <c r="Z16" s="37"/>
      <c r="AA16" s="38"/>
      <c r="AB16" s="38"/>
      <c r="AC16" s="39"/>
      <c r="AD16" s="45"/>
      <c r="AE16" s="28"/>
      <c r="AF16" s="41"/>
      <c r="AG16" s="32"/>
      <c r="AH16" s="35"/>
      <c r="AI16" s="43"/>
      <c r="AJ16" s="35"/>
      <c r="AK16" s="43"/>
      <c r="AL16" s="44"/>
      <c r="AM16" s="38"/>
      <c r="AN16" s="38"/>
      <c r="AO16" s="39"/>
      <c r="AP16" s="40"/>
      <c r="AQ16" s="28"/>
      <c r="AR16" s="41"/>
      <c r="AS16" s="30"/>
      <c r="AT16" s="30"/>
      <c r="AU16" s="42"/>
      <c r="AV16" s="33"/>
      <c r="AW16" s="46"/>
      <c r="AX16" s="33"/>
      <c r="AY16" s="47"/>
      <c r="AZ16" s="48"/>
      <c r="BA16" s="49"/>
      <c r="BB16" s="49"/>
      <c r="BC16" s="50"/>
      <c r="BD16" s="51"/>
      <c r="BE16" s="90"/>
      <c r="BI16" s="91" t="e">
        <f>SUM(B16+P16+#REF!+AD16)</f>
        <v>#REF!</v>
      </c>
      <c r="BJ16" s="91" t="e">
        <f t="shared" si="0"/>
        <v>#REF!</v>
      </c>
      <c r="BM16" s="93">
        <f>SUM(BM10:BM15)</f>
        <v>1705574</v>
      </c>
    </row>
    <row r="17" spans="1:62" s="52" customFormat="1" ht="35.1" customHeight="1" x14ac:dyDescent="0.15">
      <c r="A17" s="53" t="s">
        <v>77</v>
      </c>
      <c r="B17" s="27"/>
      <c r="C17" s="28"/>
      <c r="D17" s="29"/>
      <c r="E17" s="30"/>
      <c r="F17" s="31"/>
      <c r="G17" s="32"/>
      <c r="H17" s="33"/>
      <c r="I17" s="34"/>
      <c r="J17" s="35"/>
      <c r="K17" s="36"/>
      <c r="L17" s="37"/>
      <c r="M17" s="38"/>
      <c r="N17" s="38"/>
      <c r="O17" s="39"/>
      <c r="P17" s="40"/>
      <c r="Q17" s="28"/>
      <c r="R17" s="29"/>
      <c r="S17" s="30"/>
      <c r="T17" s="31"/>
      <c r="U17" s="32"/>
      <c r="V17" s="33"/>
      <c r="W17" s="34"/>
      <c r="X17" s="35"/>
      <c r="Y17" s="36"/>
      <c r="Z17" s="37"/>
      <c r="AA17" s="38"/>
      <c r="AB17" s="38"/>
      <c r="AC17" s="39"/>
      <c r="AD17" s="45"/>
      <c r="AE17" s="28"/>
      <c r="AF17" s="41"/>
      <c r="AG17" s="32"/>
      <c r="AH17" s="35"/>
      <c r="AI17" s="43"/>
      <c r="AJ17" s="35"/>
      <c r="AK17" s="43"/>
      <c r="AL17" s="44"/>
      <c r="AM17" s="38"/>
      <c r="AN17" s="38"/>
      <c r="AO17" s="39"/>
      <c r="AP17" s="40"/>
      <c r="AQ17" s="28"/>
      <c r="AR17" s="41"/>
      <c r="AS17" s="30"/>
      <c r="AT17" s="30"/>
      <c r="AU17" s="42"/>
      <c r="AV17" s="33"/>
      <c r="AW17" s="46"/>
      <c r="AX17" s="33"/>
      <c r="AY17" s="47"/>
      <c r="AZ17" s="48"/>
      <c r="BA17" s="49"/>
      <c r="BB17" s="49"/>
      <c r="BC17" s="50"/>
      <c r="BD17" s="51"/>
      <c r="BE17" s="90"/>
      <c r="BI17" s="91" t="e">
        <f>SUM(B17+P17+#REF!+AD17)</f>
        <v>#REF!</v>
      </c>
      <c r="BJ17" s="91" t="e">
        <f t="shared" si="0"/>
        <v>#REF!</v>
      </c>
    </row>
    <row r="18" spans="1:62" s="52" customFormat="1" ht="35.1" customHeight="1" x14ac:dyDescent="0.15">
      <c r="A18" s="53" t="s">
        <v>78</v>
      </c>
      <c r="B18" s="27"/>
      <c r="C18" s="28"/>
      <c r="D18" s="29"/>
      <c r="E18" s="30"/>
      <c r="F18" s="31"/>
      <c r="G18" s="32"/>
      <c r="H18" s="33"/>
      <c r="I18" s="34"/>
      <c r="J18" s="35"/>
      <c r="K18" s="36"/>
      <c r="L18" s="37"/>
      <c r="M18" s="38"/>
      <c r="N18" s="38"/>
      <c r="O18" s="39"/>
      <c r="P18" s="40"/>
      <c r="Q18" s="28"/>
      <c r="R18" s="29"/>
      <c r="S18" s="30"/>
      <c r="T18" s="31"/>
      <c r="U18" s="32"/>
      <c r="V18" s="33"/>
      <c r="W18" s="34"/>
      <c r="X18" s="35"/>
      <c r="Y18" s="36"/>
      <c r="Z18" s="37"/>
      <c r="AA18" s="38"/>
      <c r="AB18" s="38"/>
      <c r="AC18" s="39"/>
      <c r="AD18" s="45"/>
      <c r="AE18" s="95"/>
      <c r="AF18" s="41"/>
      <c r="AG18" s="32"/>
      <c r="AH18" s="35"/>
      <c r="AI18" s="43"/>
      <c r="AJ18" s="35"/>
      <c r="AK18" s="43"/>
      <c r="AL18" s="44"/>
      <c r="AM18" s="38"/>
      <c r="AN18" s="38"/>
      <c r="AO18" s="39"/>
      <c r="AP18" s="40"/>
      <c r="AQ18" s="28"/>
      <c r="AR18" s="96"/>
      <c r="AS18" s="30"/>
      <c r="AT18" s="30"/>
      <c r="AU18" s="42"/>
      <c r="AV18" s="33"/>
      <c r="AW18" s="46"/>
      <c r="AX18" s="33"/>
      <c r="AY18" s="47"/>
      <c r="AZ18" s="48"/>
      <c r="BA18" s="49"/>
      <c r="BB18" s="49"/>
      <c r="BC18" s="50"/>
      <c r="BD18" s="51"/>
      <c r="BE18" s="90"/>
      <c r="BI18" s="91" t="e">
        <f>SUM(B18+P18+#REF!+AD18)</f>
        <v>#REF!</v>
      </c>
      <c r="BJ18" s="91" t="e">
        <f t="shared" si="0"/>
        <v>#REF!</v>
      </c>
    </row>
    <row r="19" spans="1:62" s="52" customFormat="1" ht="35.1" customHeight="1" thickBot="1" x14ac:dyDescent="0.2">
      <c r="A19" s="53" t="s">
        <v>79</v>
      </c>
      <c r="B19" s="27"/>
      <c r="C19" s="28"/>
      <c r="D19" s="29"/>
      <c r="E19" s="30"/>
      <c r="F19" s="31"/>
      <c r="G19" s="32"/>
      <c r="H19" s="33"/>
      <c r="I19" s="34"/>
      <c r="J19" s="35"/>
      <c r="K19" s="36"/>
      <c r="L19" s="37"/>
      <c r="M19" s="38"/>
      <c r="N19" s="38"/>
      <c r="O19" s="39"/>
      <c r="P19" s="40"/>
      <c r="Q19" s="28"/>
      <c r="R19" s="29"/>
      <c r="S19" s="30"/>
      <c r="T19" s="31"/>
      <c r="U19" s="32"/>
      <c r="V19" s="33"/>
      <c r="W19" s="34"/>
      <c r="X19" s="35"/>
      <c r="Y19" s="36"/>
      <c r="Z19" s="37"/>
      <c r="AA19" s="38"/>
      <c r="AB19" s="38"/>
      <c r="AC19" s="39"/>
      <c r="AD19" s="45"/>
      <c r="AE19" s="28"/>
      <c r="AF19" s="41"/>
      <c r="AG19" s="32"/>
      <c r="AH19" s="35"/>
      <c r="AI19" s="43"/>
      <c r="AJ19" s="35"/>
      <c r="AK19" s="43"/>
      <c r="AL19" s="44"/>
      <c r="AM19" s="38"/>
      <c r="AN19" s="38"/>
      <c r="AO19" s="39"/>
      <c r="AP19" s="40"/>
      <c r="AQ19" s="28"/>
      <c r="AR19" s="41"/>
      <c r="AS19" s="30"/>
      <c r="AT19" s="30"/>
      <c r="AU19" s="42"/>
      <c r="AV19" s="33"/>
      <c r="AW19" s="46"/>
      <c r="AX19" s="33"/>
      <c r="AY19" s="47"/>
      <c r="AZ19" s="48"/>
      <c r="BA19" s="49"/>
      <c r="BB19" s="49"/>
      <c r="BC19" s="50"/>
      <c r="BD19" s="51"/>
      <c r="BE19" s="90"/>
      <c r="BI19" s="91" t="e">
        <f>SUM(B19+P19+#REF!+#REF!)</f>
        <v>#REF!</v>
      </c>
      <c r="BJ19" s="91" t="e">
        <f>BI19-AP19</f>
        <v>#REF!</v>
      </c>
    </row>
    <row r="20" spans="1:62" s="10" customFormat="1" ht="35.1" customHeight="1" thickTop="1" thickBot="1" x14ac:dyDescent="0.2">
      <c r="A20" s="54" t="s">
        <v>80</v>
      </c>
      <c r="B20" s="55">
        <f>SUM(B8:B19)</f>
        <v>12210988</v>
      </c>
      <c r="C20" s="56">
        <f>SUM(C8:C19)</f>
        <v>14355000</v>
      </c>
      <c r="D20" s="57">
        <f>B20/C20</f>
        <v>0.85064353883664223</v>
      </c>
      <c r="E20" s="58">
        <f>SUM(E8:E19)</f>
        <v>13075387</v>
      </c>
      <c r="F20" s="59">
        <f>SUM(F8:F19)</f>
        <v>18044108</v>
      </c>
      <c r="G20" s="60">
        <f>B20+E20+F20</f>
        <v>43330483</v>
      </c>
      <c r="H20" s="61">
        <f t="shared" ref="H20:N20" si="1">SUM(H8:H19)</f>
        <v>0</v>
      </c>
      <c r="I20" s="62">
        <f t="shared" si="1"/>
        <v>0</v>
      </c>
      <c r="J20" s="61">
        <f t="shared" si="1"/>
        <v>176484</v>
      </c>
      <c r="K20" s="62">
        <f t="shared" si="1"/>
        <v>522414</v>
      </c>
      <c r="L20" s="63">
        <f t="shared" si="1"/>
        <v>9010721</v>
      </c>
      <c r="M20" s="63">
        <f t="shared" si="1"/>
        <v>2951911</v>
      </c>
      <c r="N20" s="63">
        <f t="shared" si="1"/>
        <v>248356</v>
      </c>
      <c r="O20" s="64">
        <f>SUM(L20:N20)</f>
        <v>12210988</v>
      </c>
      <c r="P20" s="65">
        <f>SUM(P8:P19)</f>
        <v>9033632</v>
      </c>
      <c r="Q20" s="56">
        <f>SUM(Q8:Q19)</f>
        <v>6930000</v>
      </c>
      <c r="R20" s="57">
        <f>P20/Q20</f>
        <v>1.3035544011544011</v>
      </c>
      <c r="S20" s="58">
        <f>SUM(S8:S19)</f>
        <v>1461382</v>
      </c>
      <c r="T20" s="59">
        <f>SUM(T8:T19)</f>
        <v>2090350</v>
      </c>
      <c r="U20" s="60">
        <f>P20+S20+T20</f>
        <v>12585364</v>
      </c>
      <c r="V20" s="61">
        <f t="shared" ref="V20:AB20" si="2">SUM(V8:V19)</f>
        <v>0</v>
      </c>
      <c r="W20" s="62">
        <f t="shared" si="2"/>
        <v>0</v>
      </c>
      <c r="X20" s="61">
        <f t="shared" si="2"/>
        <v>128816</v>
      </c>
      <c r="Y20" s="62">
        <f t="shared" si="2"/>
        <v>168121</v>
      </c>
      <c r="Z20" s="63">
        <f t="shared" si="2"/>
        <v>4742236</v>
      </c>
      <c r="AA20" s="63">
        <f t="shared" si="2"/>
        <v>3675597</v>
      </c>
      <c r="AB20" s="63">
        <f t="shared" si="2"/>
        <v>615799</v>
      </c>
      <c r="AC20" s="64">
        <f>SUM(Z20:AB20)</f>
        <v>9033632</v>
      </c>
      <c r="AD20" s="69">
        <f>SUM(AD8:AD19)</f>
        <v>14549105</v>
      </c>
      <c r="AE20" s="56">
        <f t="shared" ref="AE20" si="3">SUM(AE8:AE19)</f>
        <v>19800000</v>
      </c>
      <c r="AF20" s="57">
        <f>AD19/AE20</f>
        <v>0</v>
      </c>
      <c r="AG20" s="60">
        <f>SUM(AG8:AG19)</f>
        <v>14549105</v>
      </c>
      <c r="AH20" s="61">
        <f t="shared" ref="AH20:AO20" si="4">SUM(AH8:AH19)</f>
        <v>0</v>
      </c>
      <c r="AI20" s="62">
        <f t="shared" si="4"/>
        <v>0</v>
      </c>
      <c r="AJ20" s="61">
        <f t="shared" si="4"/>
        <v>1352669</v>
      </c>
      <c r="AK20" s="62">
        <f t="shared" si="4"/>
        <v>203530</v>
      </c>
      <c r="AL20" s="63">
        <f t="shared" si="4"/>
        <v>12471203</v>
      </c>
      <c r="AM20" s="63">
        <f t="shared" si="4"/>
        <v>1379940</v>
      </c>
      <c r="AN20" s="63">
        <f t="shared" si="4"/>
        <v>697962</v>
      </c>
      <c r="AO20" s="70">
        <f t="shared" si="4"/>
        <v>14549105</v>
      </c>
      <c r="AP20" s="69">
        <f>SUM(AP8:AP19)</f>
        <v>35793725</v>
      </c>
      <c r="AQ20" s="56">
        <f>SUM(AQ8:AQ19)</f>
        <v>41085000</v>
      </c>
      <c r="AR20" s="97">
        <f>AP20/AQ20</f>
        <v>0.87121151271753683</v>
      </c>
      <c r="AS20" s="58">
        <f t="shared" ref="AS20:BB20" si="5">SUM(AS8:AS19)</f>
        <v>14536769</v>
      </c>
      <c r="AT20" s="58">
        <f t="shared" si="5"/>
        <v>20134458</v>
      </c>
      <c r="AU20" s="72">
        <f t="shared" si="5"/>
        <v>70464952</v>
      </c>
      <c r="AV20" s="61">
        <f t="shared" si="5"/>
        <v>0</v>
      </c>
      <c r="AW20" s="73">
        <f t="shared" si="5"/>
        <v>0</v>
      </c>
      <c r="AX20" s="61">
        <f t="shared" si="5"/>
        <v>1657969</v>
      </c>
      <c r="AY20" s="73">
        <f t="shared" si="5"/>
        <v>894065</v>
      </c>
      <c r="AZ20" s="74">
        <f t="shared" si="5"/>
        <v>26224160</v>
      </c>
      <c r="BA20" s="75">
        <f t="shared" si="5"/>
        <v>8007448</v>
      </c>
      <c r="BB20" s="75">
        <f t="shared" si="5"/>
        <v>1562117</v>
      </c>
      <c r="BC20" s="64">
        <f>SUM(AZ20:BB20)</f>
        <v>35793725</v>
      </c>
      <c r="BD20" s="76">
        <f>SUM(BD8:BD19)</f>
        <v>0</v>
      </c>
      <c r="BE20" s="87"/>
      <c r="BI20" s="91" t="e">
        <f>SUM(B20+P20+#REF!+AD19)</f>
        <v>#REF!</v>
      </c>
      <c r="BJ20" s="91" t="e">
        <f t="shared" si="0"/>
        <v>#REF!</v>
      </c>
    </row>
    <row r="21" spans="1:62" x14ac:dyDescent="0.15">
      <c r="B21" s="78"/>
      <c r="C21" s="78"/>
      <c r="D21" s="78"/>
      <c r="E21" s="78"/>
      <c r="P21" s="78"/>
      <c r="R21" s="78"/>
      <c r="S21" s="78"/>
    </row>
    <row r="22" spans="1:62" ht="20.25" x14ac:dyDescent="0.2">
      <c r="D22" s="77" ph="1"/>
      <c r="R22" s="77" ph="1"/>
      <c r="AP22" s="78"/>
    </row>
    <row r="23" spans="1:62" ht="20.25" x14ac:dyDescent="0.2">
      <c r="D23" s="77" ph="1"/>
      <c r="R23" s="77" ph="1"/>
      <c r="AG23" s="10"/>
    </row>
    <row r="24" spans="1:62" ht="20.25" x14ac:dyDescent="0.2">
      <c r="D24" s="77" ph="1"/>
      <c r="R24" s="77" ph="1"/>
      <c r="AG24" s="10"/>
    </row>
    <row r="25" spans="1:62" ht="20.25" x14ac:dyDescent="0.2">
      <c r="D25" s="77" ph="1"/>
      <c r="R25" s="77" ph="1"/>
      <c r="AG25" s="10"/>
    </row>
    <row r="26" spans="1:62" ht="20.25" x14ac:dyDescent="0.2">
      <c r="D26" s="77" ph="1"/>
      <c r="R26" s="77" ph="1"/>
      <c r="AG26" s="10"/>
    </row>
    <row r="27" spans="1:62" ht="20.25" x14ac:dyDescent="0.2">
      <c r="D27" s="77" ph="1"/>
      <c r="R27" s="77" ph="1"/>
      <c r="AG27" s="10"/>
    </row>
    <row r="28" spans="1:62" x14ac:dyDescent="0.15">
      <c r="AG28" s="10"/>
    </row>
    <row r="29" spans="1:62" x14ac:dyDescent="0.15">
      <c r="AG29" s="10"/>
    </row>
    <row r="30" spans="1:62" x14ac:dyDescent="0.15">
      <c r="AG30" s="10"/>
    </row>
    <row r="31" spans="1:62" x14ac:dyDescent="0.15">
      <c r="AG31" s="10"/>
    </row>
    <row r="32" spans="1:62" x14ac:dyDescent="0.15">
      <c r="AG32" s="10"/>
    </row>
    <row r="33" spans="4:33" x14ac:dyDescent="0.15">
      <c r="AG33" s="10"/>
    </row>
    <row r="34" spans="4:33" x14ac:dyDescent="0.15">
      <c r="AG34" s="10"/>
    </row>
    <row r="41" spans="4:33" ht="20.25" x14ac:dyDescent="0.2">
      <c r="D41" s="77" ph="1"/>
      <c r="R41" s="77" ph="1"/>
    </row>
    <row r="42" spans="4:33" ht="20.25" x14ac:dyDescent="0.2">
      <c r="D42" s="77" ph="1"/>
      <c r="R42" s="77" ph="1"/>
    </row>
    <row r="43" spans="4:33" ht="20.25" x14ac:dyDescent="0.2">
      <c r="D43" s="77" ph="1"/>
      <c r="R43" s="77" ph="1"/>
    </row>
    <row r="44" spans="4:33" ht="20.25" x14ac:dyDescent="0.2">
      <c r="D44" s="77" ph="1"/>
      <c r="R44" s="77" ph="1"/>
    </row>
    <row r="45" spans="4:33" ht="20.25" x14ac:dyDescent="0.2">
      <c r="D45" s="77" ph="1"/>
      <c r="R45" s="77" ph="1"/>
    </row>
    <row r="46" spans="4:33" ht="20.25" x14ac:dyDescent="0.2">
      <c r="D46" s="77" ph="1"/>
      <c r="R46" s="77" ph="1"/>
    </row>
  </sheetData>
  <customSheetViews>
    <customSheetView guid="{92DE7E81-188B-400C-BE95-FD63ABDF8569}" scale="80" printArea="1" showRuler="0">
      <pane xSplit="1" ySplit="7" topLeftCell="B8" activePane="bottomRight" state="frozen"/>
      <selection pane="bottomRight" activeCell="H12" sqref="H12"/>
      <colBreaks count="1" manualBreakCount="1">
        <brk id="51" max="38" man="1"/>
      </colBreaks>
      <pageMargins left="0.23" right="0" top="0.75" bottom="0" header="0.39370078740157483" footer="0.2"/>
      <pageSetup paperSize="9" scale="18" orientation="landscape" r:id="rId1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6014EC6B-E951-4001-A680-AFB52E04C0CC}" scale="80" printArea="1" showRuler="0">
      <pane xSplit="1" ySplit="7" topLeftCell="B8" activePane="bottomRight" state="frozen"/>
      <selection pane="bottomRight" activeCell="H12" sqref="H12"/>
      <colBreaks count="1" manualBreakCount="1">
        <brk id="51" max="38" man="1"/>
      </colBreaks>
      <pageMargins left="0.23" right="0" top="0.75" bottom="0" header="0.39370078740157483" footer="0.2"/>
      <pageSetup paperSize="9" scale="18" orientation="landscape" r:id="rId2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F59DFEB7-288F-42CE-BE14-615E48269161}" scale="80" printArea="1" showRuler="0">
      <pane xSplit="1" ySplit="7" topLeftCell="B8" activePane="bottomRight" state="frozen"/>
      <selection pane="bottomRight" activeCell="H12" sqref="H12"/>
      <colBreaks count="1" manualBreakCount="1">
        <brk id="51" max="38" man="1"/>
      </colBreaks>
      <pageMargins left="0.23" right="0" top="0.75" bottom="0" header="0.39370078740157483" footer="0.2"/>
      <pageSetup paperSize="9" scale="18" orientation="landscape" r:id="rId3"/>
      <headerFooter alignWithMargins="0">
        <oddHeader xml:space="preserve">&amp;R
</oddHeader>
        <oddFooter>&amp;L&amp;16DOC ID NO.:CP-601-01 REV.1 DATE:2013.01.04&amp;C&amp;20 1 / 1</oddFooter>
      </headerFooter>
    </customSheetView>
    <customSheetView guid="{A4746F86-270C-49F3-80CC-40F07775E69C}" scale="80" showRuler="0">
      <pane xSplit="1" ySplit="7" topLeftCell="B8" activePane="bottomRight" state="frozen"/>
      <selection pane="bottomRight" activeCell="H12" sqref="H12"/>
      <colBreaks count="1" manualBreakCount="1">
        <brk id="51" max="38" man="1"/>
      </colBreaks>
      <pageMargins left="0.23" right="0" top="0.75" bottom="0" header="0.39370078740157483" footer="0.2"/>
      <pageSetup paperSize="9" scale="18" orientation="landscape" r:id="rId4"/>
      <headerFooter alignWithMargins="0">
        <oddHeader xml:space="preserve">&amp;R
</oddHeader>
        <oddFooter>&amp;L&amp;16DOC ID NO.:CP-601-01 REV.1 DATE:2013.01.04&amp;C&amp;20 1 / 1</oddFooter>
      </headerFooter>
    </customSheetView>
  </customSheetViews>
  <mergeCells count="52">
    <mergeCell ref="AD5:AG5"/>
    <mergeCell ref="AH5:AO5"/>
    <mergeCell ref="AP5:AY5"/>
    <mergeCell ref="AZ5:BC5"/>
    <mergeCell ref="H6:I6"/>
    <mergeCell ref="J6:K6"/>
    <mergeCell ref="L6:O6"/>
    <mergeCell ref="P6:R6"/>
    <mergeCell ref="S6:S7"/>
    <mergeCell ref="AZ6:BC6"/>
    <mergeCell ref="AD6:AF6"/>
    <mergeCell ref="AG6:AG7"/>
    <mergeCell ref="U6:U7"/>
    <mergeCell ref="V6:W6"/>
    <mergeCell ref="X6:Y6"/>
    <mergeCell ref="Z6:AC6"/>
    <mergeCell ref="BD5:BD7"/>
    <mergeCell ref="AH6:AI6"/>
    <mergeCell ref="AJ6:AK6"/>
    <mergeCell ref="AL6:AO6"/>
    <mergeCell ref="AP6:AR6"/>
    <mergeCell ref="AS6:AS7"/>
    <mergeCell ref="AT6:AT7"/>
    <mergeCell ref="AU6:AU7"/>
    <mergeCell ref="AV6:AW6"/>
    <mergeCell ref="AX6:AY6"/>
    <mergeCell ref="A5:A7"/>
    <mergeCell ref="B5:G5"/>
    <mergeCell ref="H5:O5"/>
    <mergeCell ref="P5:U5"/>
    <mergeCell ref="V5:AC5"/>
    <mergeCell ref="B6:D6"/>
    <mergeCell ref="E6:E7"/>
    <mergeCell ref="F6:F7"/>
    <mergeCell ref="G6:G7"/>
    <mergeCell ref="T6:T7"/>
    <mergeCell ref="AT1:AW1"/>
    <mergeCell ref="AX1:AY1"/>
    <mergeCell ref="AG2:AP4"/>
    <mergeCell ref="AR2:AS4"/>
    <mergeCell ref="AT2:AW4"/>
    <mergeCell ref="AX2:AY4"/>
    <mergeCell ref="AR1:AS1"/>
    <mergeCell ref="A1:D4"/>
    <mergeCell ref="E1:P2"/>
    <mergeCell ref="R1:AE2"/>
    <mergeCell ref="AF1:AF4"/>
    <mergeCell ref="AG1:AP1"/>
    <mergeCell ref="E3:P3"/>
    <mergeCell ref="R3:AE3"/>
    <mergeCell ref="E4:P4"/>
    <mergeCell ref="R4:AE4"/>
  </mergeCells>
  <phoneticPr fontId="3" type="noConversion"/>
  <pageMargins left="0.23" right="0" top="0.75" bottom="0" header="0.39370078740157483" footer="0.2"/>
  <pageSetup paperSize="9" scale="18" orientation="landscape" r:id="rId5"/>
  <headerFooter alignWithMargins="0">
    <oddHeader xml:space="preserve">&amp;R
</oddHeader>
    <oddFooter>&amp;L&amp;16DOC ID NO.:CP-601-01 REV.1 DATE:2013.01.04&amp;C&amp;20 1 / 1</oddFooter>
  </headerFooter>
  <colBreaks count="1" manualBreakCount="1">
    <brk id="51" max="38" man="1"/>
  </colBreak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9</vt:i4>
      </vt:variant>
    </vt:vector>
  </HeadingPairs>
  <TitlesOfParts>
    <vt:vector size="18" baseType="lpstr">
      <vt:lpstr>2601월</vt:lpstr>
      <vt:lpstr>2602월</vt:lpstr>
      <vt:lpstr>2603월</vt:lpstr>
      <vt:lpstr>2604월</vt:lpstr>
      <vt:lpstr>2605월</vt:lpstr>
      <vt:lpstr>2606월</vt:lpstr>
      <vt:lpstr>2024년 전체</vt:lpstr>
      <vt:lpstr>2025년 전체</vt:lpstr>
      <vt:lpstr>2026년 전체</vt:lpstr>
      <vt:lpstr>'2024년 전체'!Print_Area</vt:lpstr>
      <vt:lpstr>'2025년 전체'!Print_Area</vt:lpstr>
      <vt:lpstr>'2026년 전체'!Print_Area</vt:lpstr>
      <vt:lpstr>'2601월'!Print_Area</vt:lpstr>
      <vt:lpstr>'2602월'!Print_Area</vt:lpstr>
      <vt:lpstr>'2603월'!Print_Area</vt:lpstr>
      <vt:lpstr>'2604월'!Print_Area</vt:lpstr>
      <vt:lpstr>'2605월'!Print_Area</vt:lpstr>
      <vt:lpstr>'2606월'!Print_Area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TW_User</dc:creator>
  <cp:lastModifiedBy>TW_User</cp:lastModifiedBy>
  <cp:lastPrinted>2026-06-09T05:07:56Z</cp:lastPrinted>
  <dcterms:created xsi:type="dcterms:W3CDTF">2026-01-05T06:07:32Z</dcterms:created>
  <dcterms:modified xsi:type="dcterms:W3CDTF">2026-06-09T05:08:14Z</dcterms:modified>
</cp:coreProperties>
</file>